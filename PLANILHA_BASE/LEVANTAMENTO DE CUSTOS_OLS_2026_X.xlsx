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joaomachado\Desktop\"/>
    </mc:Choice>
  </mc:AlternateContent>
  <xr:revisionPtr revIDLastSave="0" documentId="13_ncr:1_{8DF2709D-B161-4582-A26E-751139729D3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sumo" sheetId="3" r:id="rId1"/>
    <sheet name="Materiais" sheetId="1" r:id="rId2"/>
    <sheet name="Equipamentos" sheetId="4" r:id="rId3"/>
    <sheet name="M.O." sheetId="2" r:id="rId4"/>
  </sheets>
  <definedNames>
    <definedName name="_xlnm._FilterDatabase" localSheetId="2" hidden="1">Equipamentos!$A$3:$E$72</definedName>
    <definedName name="_xlnm._FilterDatabase" localSheetId="1" hidden="1">Materiais!$A$3:$E$126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E35" i="1"/>
  <c r="E36" i="1"/>
  <c r="E37" i="1"/>
  <c r="E38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5" i="4"/>
  <c r="E6" i="4"/>
  <c r="E7" i="4"/>
  <c r="E8" i="4"/>
  <c r="F52" i="2" l="1"/>
  <c r="F50" i="2"/>
  <c r="F43" i="2"/>
  <c r="F41" i="2"/>
  <c r="F40" i="2"/>
  <c r="F39" i="2"/>
  <c r="F38" i="2"/>
  <c r="F53" i="2"/>
  <c r="F25" i="2"/>
  <c r="F15" i="2"/>
  <c r="F21" i="2"/>
  <c r="F22" i="2"/>
  <c r="F23" i="2"/>
  <c r="F24" i="2"/>
  <c r="F20" i="2"/>
  <c r="D127" i="1" l="1"/>
  <c r="E72" i="4" l="1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4" i="4"/>
  <c r="C1" i="4"/>
  <c r="F49" i="2"/>
  <c r="F48" i="2" s="1"/>
  <c r="F47" i="2"/>
  <c r="F44" i="2"/>
  <c r="F37" i="2"/>
  <c r="F36" i="2"/>
  <c r="F34" i="2"/>
  <c r="F33" i="2"/>
  <c r="F31" i="2"/>
  <c r="F30" i="2"/>
  <c r="F29" i="2"/>
  <c r="F28" i="2"/>
  <c r="F26" i="2"/>
  <c r="F19" i="2"/>
  <c r="F18" i="2"/>
  <c r="F17" i="2"/>
  <c r="F16" i="2"/>
  <c r="F14" i="2"/>
  <c r="F13" i="2"/>
  <c r="F12" i="2"/>
  <c r="F11" i="2"/>
  <c r="F10" i="2"/>
  <c r="E127" i="1" l="1"/>
  <c r="E2" i="1"/>
  <c r="B17" i="3" s="1"/>
  <c r="F32" i="2"/>
  <c r="F51" i="2" s="1"/>
  <c r="F27" i="2"/>
  <c r="F9" i="2"/>
  <c r="F54" i="2" l="1"/>
  <c r="D5" i="2" l="1"/>
  <c r="C17" i="3"/>
  <c r="E2" i="4"/>
  <c r="A17" i="3" s="1"/>
  <c r="D17" i="3" l="1"/>
  <c r="B13" i="3"/>
</calcChain>
</file>

<file path=xl/sharedStrings.xml><?xml version="1.0" encoding="utf-8"?>
<sst xmlns="http://schemas.openxmlformats.org/spreadsheetml/2006/main" count="289" uniqueCount="247">
  <si>
    <t>CUSTO OPERACIONAL</t>
  </si>
  <si>
    <t xml:space="preserve">DATA </t>
  </si>
  <si>
    <t>Cliente: OLS OFFSHORE LINK SAT</t>
  </si>
  <si>
    <t>Estado: Rio de Janeiro</t>
  </si>
  <si>
    <t>Cidade: Macaé</t>
  </si>
  <si>
    <t>Solicitante: Fabio N Dutra_Escritório de Projetos</t>
  </si>
  <si>
    <t>Recursos Alocados</t>
  </si>
  <si>
    <t>Quant designada</t>
  </si>
  <si>
    <t>HUB</t>
  </si>
  <si>
    <t>TI</t>
  </si>
  <si>
    <t>OPERAÇÕES</t>
  </si>
  <si>
    <t>Custo Total</t>
  </si>
  <si>
    <t>EQUIPAMENTOS</t>
  </si>
  <si>
    <t>MATERIAIS</t>
  </si>
  <si>
    <t>M.O_LOGISTÍCA</t>
  </si>
  <si>
    <t>TOTAL</t>
  </si>
  <si>
    <t xml:space="preserve">EQUIPAMENTOS </t>
  </si>
  <si>
    <t>Item</t>
  </si>
  <si>
    <t>Descricao</t>
  </si>
  <si>
    <t>Qtd Solicitada</t>
  </si>
  <si>
    <t>Custo Un. R$</t>
  </si>
  <si>
    <t>R$ TOTAL</t>
  </si>
  <si>
    <t>OLS_EQP_0001</t>
  </si>
  <si>
    <t>OLS_EQP_0002</t>
  </si>
  <si>
    <t>OLS_EQP_0003</t>
  </si>
  <si>
    <t>OLS_EQP_0004</t>
  </si>
  <si>
    <t>OLS_EQP_0005</t>
  </si>
  <si>
    <t>OLS_EQP_0006</t>
  </si>
  <si>
    <t>OLS_EQP_0007</t>
  </si>
  <si>
    <t>OLS_EQP_0008</t>
  </si>
  <si>
    <t>OLS_EQP_0009</t>
  </si>
  <si>
    <t>OLS_EQP_0010</t>
  </si>
  <si>
    <t>OLS_EQP_0011</t>
  </si>
  <si>
    <t>OLS_EQP_0012</t>
  </si>
  <si>
    <t>OLS_EQP_0013</t>
  </si>
  <si>
    <t>OLS_EQP_0014</t>
  </si>
  <si>
    <t>OLS_EQP_0015</t>
  </si>
  <si>
    <t>OLS_EQP_0016</t>
  </si>
  <si>
    <t>OLS_EQP_0017</t>
  </si>
  <si>
    <t>OLS_EQP_0018</t>
  </si>
  <si>
    <t>OLS_EQP_0019</t>
  </si>
  <si>
    <t>OLS_EQP_0020</t>
  </si>
  <si>
    <t>OLS_EQP_0021</t>
  </si>
  <si>
    <t>OLS_EQP_0022</t>
  </si>
  <si>
    <t>OLS_EQP_0023</t>
  </si>
  <si>
    <t>OLS_EQP_0024</t>
  </si>
  <si>
    <t>OLS_EQP_0026</t>
  </si>
  <si>
    <t>OLS_EQP_0027</t>
  </si>
  <si>
    <t>OLS_EQP_0028</t>
  </si>
  <si>
    <t>OLS_EQP_0029</t>
  </si>
  <si>
    <t>OLS_EQP_0030</t>
  </si>
  <si>
    <t>OLS_EQP_0031</t>
  </si>
  <si>
    <t>OLS_EQP_0032</t>
  </si>
  <si>
    <t>OLS_EQP_0033</t>
  </si>
  <si>
    <t>OLS_EQP_0034</t>
  </si>
  <si>
    <t>OLS_EQP_0035</t>
  </si>
  <si>
    <t>OLS_EQP_0036</t>
  </si>
  <si>
    <t>OLS_EQP_0037</t>
  </si>
  <si>
    <t>OLS_EQP_0038</t>
  </si>
  <si>
    <t>OLS_EQP_0039</t>
  </si>
  <si>
    <t>OLS_EQP_0040</t>
  </si>
  <si>
    <t>OLS_EQP_0041</t>
  </si>
  <si>
    <t>OLS_EQP_0042</t>
  </si>
  <si>
    <t>OLS_EQP_0043</t>
  </si>
  <si>
    <t>OLS_EQP_0044</t>
  </si>
  <si>
    <t>OLS_EQP_0045</t>
  </si>
  <si>
    <t>OLS_EQP_0046</t>
  </si>
  <si>
    <t>OLS_EQP_0047</t>
  </si>
  <si>
    <t>OLS_EQP_0048</t>
  </si>
  <si>
    <t>OLS_EQP_0049</t>
  </si>
  <si>
    <t>OLS_EQP_0050</t>
  </si>
  <si>
    <t>OLS_EQP_0051</t>
  </si>
  <si>
    <t>OLS_EQP_0052</t>
  </si>
  <si>
    <t>OLS_EQP_0053</t>
  </si>
  <si>
    <t>OLS_EQP_0054</t>
  </si>
  <si>
    <t>OLS_EQP_0055</t>
  </si>
  <si>
    <t>OLS_EQP_0056</t>
  </si>
  <si>
    <t>OLS_EQP_0057</t>
  </si>
  <si>
    <t>OLS_EQP_0058</t>
  </si>
  <si>
    <t>OLS_EQP_0059</t>
  </si>
  <si>
    <t>OLS_EQP_0060</t>
  </si>
  <si>
    <t>OLS_EQP_0061</t>
  </si>
  <si>
    <t>OLS_EQP_0062</t>
  </si>
  <si>
    <t>OLS_EQP_0063</t>
  </si>
  <si>
    <t>OLS_EQP_0064</t>
  </si>
  <si>
    <t>OLS_EQP_0065</t>
  </si>
  <si>
    <t>OLS_EQP_0066</t>
  </si>
  <si>
    <t>OLS_EQP_0067</t>
  </si>
  <si>
    <t>OLS_EQP_0068</t>
  </si>
  <si>
    <t>OLS_EQP_0069</t>
  </si>
  <si>
    <t xml:space="preserve">Material Entregue </t>
  </si>
  <si>
    <t>unidade</t>
  </si>
  <si>
    <t>OLS_MAT_0001</t>
  </si>
  <si>
    <t>OLS_MAT_0002</t>
  </si>
  <si>
    <t>OLS_MAT_0003</t>
  </si>
  <si>
    <t>OLS_MAT_0004</t>
  </si>
  <si>
    <t>OLS_MAT_0005</t>
  </si>
  <si>
    <t>OLS_MAT_0006</t>
  </si>
  <si>
    <t>OLS_MAT_0007</t>
  </si>
  <si>
    <t>OLS_MAT_0008</t>
  </si>
  <si>
    <t>OLS_MAT_0009</t>
  </si>
  <si>
    <t>OLS_MAT_0010</t>
  </si>
  <si>
    <t>OLS_MAT_0011</t>
  </si>
  <si>
    <t>OLS_MAT_0012</t>
  </si>
  <si>
    <t>OLS_MAT_0013</t>
  </si>
  <si>
    <t>OLS_MAT_0014</t>
  </si>
  <si>
    <t>OLS_MAT_0015</t>
  </si>
  <si>
    <t>OLS_MAT_0016</t>
  </si>
  <si>
    <t>OLS_MAT_0017</t>
  </si>
  <si>
    <t>OLS_MAT_0018</t>
  </si>
  <si>
    <t>OLS_MAT_0019</t>
  </si>
  <si>
    <t>OLS_MAT_0020</t>
  </si>
  <si>
    <t>OLS_MAT_0021</t>
  </si>
  <si>
    <t>OLS_MAT_0022</t>
  </si>
  <si>
    <t>OLS_MAT_0023</t>
  </si>
  <si>
    <t>OLS_MAT_0024</t>
  </si>
  <si>
    <t>OLS_MAT_0025</t>
  </si>
  <si>
    <t>OLS_MAT_0026</t>
  </si>
  <si>
    <t>OLS_MAT_0027</t>
  </si>
  <si>
    <t>OLS_MAT_0028</t>
  </si>
  <si>
    <t>OLS_MAT_0029</t>
  </si>
  <si>
    <t>OLS_MAT_0030</t>
  </si>
  <si>
    <t>OLS_MAT_0031</t>
  </si>
  <si>
    <t>OLS_MAT_0032</t>
  </si>
  <si>
    <t>OLS_MAT_0033</t>
  </si>
  <si>
    <t>OLS_MAT_0034</t>
  </si>
  <si>
    <t>OLS_MAT_0035</t>
  </si>
  <si>
    <t>OLS_MAT_0036</t>
  </si>
  <si>
    <t>OLS_MAT_0037</t>
  </si>
  <si>
    <t>OLS_MAT_0038</t>
  </si>
  <si>
    <t>OLS_MAT_0039</t>
  </si>
  <si>
    <t>OLS_MAT_0040</t>
  </si>
  <si>
    <t>OLS_MAT_0041</t>
  </si>
  <si>
    <t>OLS_MAT_0042</t>
  </si>
  <si>
    <t>OLS_MAT_0043</t>
  </si>
  <si>
    <t>OLS_MAT_0044</t>
  </si>
  <si>
    <t>OLS_MAT_0045</t>
  </si>
  <si>
    <t>OLS_MAT_0046</t>
  </si>
  <si>
    <t>OLS_MAT_0047</t>
  </si>
  <si>
    <t>OLS_MAT_0048</t>
  </si>
  <si>
    <t>OLS_MAT_0049</t>
  </si>
  <si>
    <t>OLS_MAT_0050</t>
  </si>
  <si>
    <t>OLS_MAT_0051</t>
  </si>
  <si>
    <t>OLS_MAT_0052</t>
  </si>
  <si>
    <t>OLS_MAT_0053</t>
  </si>
  <si>
    <t>OLS_MAT_0054</t>
  </si>
  <si>
    <t>OLS_MAT_0055</t>
  </si>
  <si>
    <t>OLS_MAT_0056</t>
  </si>
  <si>
    <t>OLS_MAT_0057</t>
  </si>
  <si>
    <t>OLS_MAT_0058</t>
  </si>
  <si>
    <t>OLS_MAT_0059</t>
  </si>
  <si>
    <t>OLS_MAT_0060</t>
  </si>
  <si>
    <t>OLS_MAT_0061</t>
  </si>
  <si>
    <t>OLS_MAT_0062</t>
  </si>
  <si>
    <t>OLS_MAT_0063</t>
  </si>
  <si>
    <t>OLS_MAT_0064</t>
  </si>
  <si>
    <t>OLS_MAT_0065</t>
  </si>
  <si>
    <t>OLS_MAT_0066</t>
  </si>
  <si>
    <t>OLS_MAT_0067</t>
  </si>
  <si>
    <t>OLS_MAT_0068</t>
  </si>
  <si>
    <t>OLS_MAT_0069</t>
  </si>
  <si>
    <t>OLS_MAT_0070</t>
  </si>
  <si>
    <t>OLS_MAT_0071</t>
  </si>
  <si>
    <t>OLS_MAT_0072</t>
  </si>
  <si>
    <t>OLS_MAT_0073</t>
  </si>
  <si>
    <t>OLS_MAT_0074</t>
  </si>
  <si>
    <t>OLS_MAT_0075</t>
  </si>
  <si>
    <t>OLS_MAT_0076</t>
  </si>
  <si>
    <t>OLS_MAT_0077</t>
  </si>
  <si>
    <t>OLS_MAT_0078</t>
  </si>
  <si>
    <t>OLS_MAT_0079</t>
  </si>
  <si>
    <t>OLS_MAT_0080</t>
  </si>
  <si>
    <t>OLS_MAT_0081</t>
  </si>
  <si>
    <t>OLS_MAT_0082</t>
  </si>
  <si>
    <t>OLS_MAT_0083</t>
  </si>
  <si>
    <t>OLS_MAT_0084</t>
  </si>
  <si>
    <t>OLS_MAT_0085</t>
  </si>
  <si>
    <t>OLS_MAT_0086</t>
  </si>
  <si>
    <t>OLS_MAT_0087</t>
  </si>
  <si>
    <t>OLS_MAT_0088</t>
  </si>
  <si>
    <t>OLS_MAT_0089</t>
  </si>
  <si>
    <t>OLS_MAT_0090</t>
  </si>
  <si>
    <t>OLS_MAT_0091</t>
  </si>
  <si>
    <t>OLS_MAT_0092</t>
  </si>
  <si>
    <t>OLS_MAT_0093</t>
  </si>
  <si>
    <t>OLS_MAT_0094</t>
  </si>
  <si>
    <t>OLS_MAT_0095</t>
  </si>
  <si>
    <t>OLS_MAT_0096</t>
  </si>
  <si>
    <t>OLS_MAT_0097</t>
  </si>
  <si>
    <t>OLS_MAT_0098</t>
  </si>
  <si>
    <t>OLS_MAT_0099</t>
  </si>
  <si>
    <t>OLS_MAT_0100</t>
  </si>
  <si>
    <t>OLS_MAT_0101</t>
  </si>
  <si>
    <t>OLS_MAT_0102</t>
  </si>
  <si>
    <t>OLS_MAT_0103</t>
  </si>
  <si>
    <t>OLS_MAT_0104</t>
  </si>
  <si>
    <t>OLS_MAT_0105</t>
  </si>
  <si>
    <t>OLS_MAT_0106</t>
  </si>
  <si>
    <t>OLS_MAT_0107</t>
  </si>
  <si>
    <t>OLS_MAT_0108</t>
  </si>
  <si>
    <t>OLS_MAT_0109</t>
  </si>
  <si>
    <t>OLS_MAT_0110</t>
  </si>
  <si>
    <t>OLS_MAT_0111</t>
  </si>
  <si>
    <t>OLS_MAT_0112</t>
  </si>
  <si>
    <t>OLS_MAT_0113</t>
  </si>
  <si>
    <t>OLS_MAT_0114</t>
  </si>
  <si>
    <t>OLS_MAT_0115</t>
  </si>
  <si>
    <t>OLS_MAT_0116</t>
  </si>
  <si>
    <t>OLS_MAT_0117</t>
  </si>
  <si>
    <t>OLS_MAT_0132</t>
  </si>
  <si>
    <t>OLS_MAT_0133</t>
  </si>
  <si>
    <t>OLS_MAT_0134</t>
  </si>
  <si>
    <t>OLS_MAT_0135</t>
  </si>
  <si>
    <t>OLS_MAT_0136</t>
  </si>
  <si>
    <t>OLS_MAT_0137</t>
  </si>
  <si>
    <t xml:space="preserve"> Medição</t>
  </si>
  <si>
    <t>PROJETO - MANUTENÇÃO   E INSTALAÇÃO</t>
  </si>
  <si>
    <t>Fornecedor: MAURO SERRALHERIA</t>
  </si>
  <si>
    <t>Valor:</t>
  </si>
  <si>
    <t xml:space="preserve">CNPJ: </t>
  </si>
  <si>
    <t>Periodo:    02/07/2025 à 04/07/2025</t>
  </si>
  <si>
    <t xml:space="preserve">Contrato: </t>
  </si>
  <si>
    <t>Centro de Custo: OLS001</t>
  </si>
  <si>
    <t>DESCRIÇÃO DO SERVIÇO: MANUT/INSTAL</t>
  </si>
  <si>
    <t>UNIDADE</t>
  </si>
  <si>
    <t>UNITÁRIO</t>
  </si>
  <si>
    <t>QTD</t>
  </si>
  <si>
    <t>1. SISTEMA</t>
  </si>
  <si>
    <t>uni.</t>
  </si>
  <si>
    <t xml:space="preserve">2.CABOS  ÓPTICOS </t>
  </si>
  <si>
    <t>metro</t>
  </si>
  <si>
    <t>3.CUSTO TÉCNICOS e LOGISTÍCA</t>
  </si>
  <si>
    <t>Km</t>
  </si>
  <si>
    <t>L</t>
  </si>
  <si>
    <t>D</t>
  </si>
  <si>
    <t>4.INFRA ESTRUTURA</t>
  </si>
  <si>
    <t>5.PROJETOS</t>
  </si>
  <si>
    <t>1. LICENÇA ANATEL</t>
  </si>
  <si>
    <t>OLS_EQP_0025</t>
  </si>
  <si>
    <t>tecnico</t>
  </si>
  <si>
    <t>inicio</t>
  </si>
  <si>
    <t>fim</t>
  </si>
  <si>
    <t>Marco Santos</t>
  </si>
  <si>
    <t>Daniel Cruz</t>
  </si>
  <si>
    <t>Marcelo Fontes</t>
  </si>
  <si>
    <t>Escopo: X</t>
  </si>
  <si>
    <t>Nº do Projeto: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</si>
</sst>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&quot;R$&quot;#,##0.00;[Red]\-&quot;R$&quot;#,##0.00"/>
    <numFmt numFmtId="165" formatCode="_(* #,##0.00_);_(* \(#,##0.00\);_(* &quot;-&quot;??_);_(@_)"/>
    <numFmt numFmtId="166" formatCode="&quot;R$ &quot;#,##0_);\(&quot;R$ &quot;#,##0\)"/>
    <numFmt numFmtId="167" formatCode="_(&quot;R$ &quot;* #,##0.00_);_(&quot;R$ &quot;* \(#,##0.00\);_(&quot;R$ &quot;* &quot;-&quot;??_);_(@_)"/>
    <numFmt numFmtId="168" formatCode="_(&quot;R$&quot;* #,##0.00_);_(&quot;R$&quot;* \(#,##0.00\);_(&quot;R$&quot;* &quot;-&quot;??_);_(@_)"/>
    <numFmt numFmtId="169" formatCode="[$-416]d\-mmm\-yy;@"/>
    <numFmt numFmtId="170" formatCode="_(* #,##0_);_(* \(#,##0\);_(* &quot;-&quot;??_);_(@_)"/>
    <numFmt numFmtId="171" formatCode="&quot;R$ &quot;#,##0.00;[Red]&quot;R$ &quot;#,##0.00"/>
    <numFmt numFmtId="172" formatCode="0;[Red]0"/>
    <numFmt numFmtId="173" formatCode="&quot;R$ &quot;#,##0.00"/>
    <numFmt numFmtId="174" formatCode="#,##0.0;[Red]#,##0.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26"/>
      <color indexed="9"/>
      <name val="BankGothic Md BT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color theme="4" tint="-0.499984740745262"/>
      <name val="Tahoma"/>
      <family val="2"/>
    </font>
    <font>
      <b/>
      <sz val="11"/>
      <color theme="4" tint="-0.499984740745262"/>
      <name val="Tahoma"/>
      <family val="2"/>
    </font>
    <font>
      <b/>
      <sz val="10"/>
      <color theme="4" tint="-0.499984740745262"/>
      <name val="Tahoma"/>
      <family val="2"/>
    </font>
    <font>
      <b/>
      <sz val="12"/>
      <color theme="4" tint="-0.499984740745262"/>
      <name val="Tahoma"/>
      <family val="2"/>
    </font>
    <font>
      <b/>
      <sz val="12"/>
      <color theme="4" tint="-0.499984740745262"/>
      <name val="Arial"/>
      <family val="2"/>
    </font>
    <font>
      <b/>
      <sz val="8"/>
      <color theme="4" tint="-0.499984740745262"/>
      <name val="Tahoma"/>
      <family val="2"/>
    </font>
    <font>
      <b/>
      <sz val="11"/>
      <color theme="3"/>
      <name val="Calibri"/>
      <family val="2"/>
      <scheme val="minor"/>
    </font>
    <font>
      <sz val="20"/>
      <color indexed="9"/>
      <name val="BankGothic Md BT"/>
      <family val="2"/>
    </font>
    <font>
      <sz val="10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i/>
      <u/>
      <sz val="11"/>
      <color theme="3" tint="-0.249977111117893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20"/>
      <name val="Calibri"/>
      <family val="2"/>
      <scheme val="minor"/>
    </font>
    <font>
      <sz val="8"/>
      <color theme="4" tint="-0.499984740745262"/>
      <name val="Tahoma"/>
      <family val="2"/>
    </font>
    <font>
      <sz val="12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mbria"/>
      <family val="1"/>
    </font>
    <font>
      <u val="singleAccounting"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indexed="64"/>
      </right>
      <top/>
      <bottom style="medium">
        <color theme="3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3" fillId="0" borderId="0" applyFont="0" applyFill="0" applyBorder="0" applyAlignment="0" applyProtection="0"/>
    <xf numFmtId="165" fontId="5" fillId="0" borderId="0" applyFont="0" applyFill="0" applyBorder="0" applyAlignment="0" applyProtection="0"/>
  </cellStyleXfs>
  <cellXfs count="104">
    <xf numFmtId="0" fontId="0" fillId="0" borderId="0" xfId="0"/>
    <xf numFmtId="0" fontId="2" fillId="2" borderId="1" xfId="3" applyFont="1" applyFill="1" applyBorder="1"/>
    <xf numFmtId="0" fontId="2" fillId="2" borderId="1" xfId="3" applyFont="1" applyFill="1" applyBorder="1" applyAlignment="1">
      <alignment horizontal="center"/>
    </xf>
    <xf numFmtId="168" fontId="1" fillId="2" borderId="1" xfId="2" applyNumberFormat="1" applyFont="1" applyFill="1" applyBorder="1" applyProtection="1">
      <protection locked="0"/>
    </xf>
    <xf numFmtId="170" fontId="2" fillId="2" borderId="1" xfId="5" applyNumberFormat="1" applyFont="1" applyFill="1" applyBorder="1"/>
    <xf numFmtId="170" fontId="2" fillId="2" borderId="1" xfId="1" applyNumberFormat="1" applyFont="1" applyFill="1" applyBorder="1"/>
    <xf numFmtId="0" fontId="0" fillId="2" borderId="0" xfId="0" applyFill="1"/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172" fontId="11" fillId="2" borderId="0" xfId="0" applyNumberFormat="1" applyFont="1" applyFill="1" applyAlignment="1">
      <alignment horizontal="left" vertical="center" indent="1"/>
    </xf>
    <xf numFmtId="171" fontId="11" fillId="2" borderId="0" xfId="0" applyNumberFormat="1" applyFont="1" applyFill="1" applyAlignment="1">
      <alignment horizontal="center" vertical="center"/>
    </xf>
    <xf numFmtId="169" fontId="11" fillId="2" borderId="0" xfId="0" applyNumberFormat="1" applyFont="1" applyFill="1" applyAlignment="1">
      <alignment horizontal="right" vertical="center"/>
    </xf>
    <xf numFmtId="166" fontId="14" fillId="4" borderId="5" xfId="2" applyNumberFormat="1" applyFont="1" applyFill="1" applyBorder="1" applyAlignment="1">
      <alignment horizontal="center" vertical="center"/>
    </xf>
    <xf numFmtId="0" fontId="7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167" fontId="14" fillId="4" borderId="5" xfId="2" applyFont="1" applyFill="1" applyBorder="1" applyAlignment="1">
      <alignment horizontal="center" vertical="center"/>
    </xf>
    <xf numFmtId="1" fontId="1" fillId="2" borderId="1" xfId="3" applyNumberFormat="1" applyFill="1" applyBorder="1" applyAlignment="1" applyProtection="1">
      <alignment horizontal="center"/>
      <protection locked="0"/>
    </xf>
    <xf numFmtId="166" fontId="0" fillId="2" borderId="0" xfId="0" applyNumberFormat="1" applyFill="1"/>
    <xf numFmtId="167" fontId="0" fillId="2" borderId="0" xfId="0" applyNumberFormat="1" applyFill="1"/>
    <xf numFmtId="0" fontId="0" fillId="0" borderId="0" xfId="0" applyProtection="1">
      <protection locked="0"/>
    </xf>
    <xf numFmtId="0" fontId="20" fillId="0" borderId="4" xfId="0" applyFont="1" applyBorder="1" applyAlignment="1" applyProtection="1">
      <alignment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vertical="center"/>
      <protection locked="0"/>
    </xf>
    <xf numFmtId="0" fontId="21" fillId="0" borderId="4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7" xfId="0" applyFont="1" applyBorder="1" applyAlignment="1" applyProtection="1">
      <alignment horizontal="center" vertical="center"/>
      <protection locked="0"/>
    </xf>
    <xf numFmtId="0" fontId="15" fillId="0" borderId="4" xfId="0" applyFont="1" applyBorder="1" applyAlignment="1" applyProtection="1">
      <alignment vertical="center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7" fontId="21" fillId="0" borderId="7" xfId="0" applyNumberFormat="1" applyFont="1" applyBorder="1" applyAlignment="1" applyProtection="1">
      <alignment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22" fillId="0" borderId="7" xfId="0" applyFont="1" applyBorder="1" applyAlignment="1" applyProtection="1">
      <alignment vertical="center"/>
      <protection locked="0"/>
    </xf>
    <xf numFmtId="0" fontId="23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5" borderId="4" xfId="0" applyFont="1" applyFill="1" applyBorder="1" applyAlignment="1">
      <alignment vertical="center"/>
    </xf>
    <xf numFmtId="0" fontId="19" fillId="5" borderId="0" xfId="0" applyFont="1" applyFill="1" applyAlignment="1">
      <alignment vertical="center"/>
    </xf>
    <xf numFmtId="174" fontId="19" fillId="5" borderId="0" xfId="0" applyNumberFormat="1" applyFont="1" applyFill="1" applyAlignment="1">
      <alignment horizontal="center" vertical="center"/>
    </xf>
    <xf numFmtId="167" fontId="19" fillId="5" borderId="7" xfId="0" applyNumberFormat="1" applyFont="1" applyFill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171" fontId="17" fillId="0" borderId="11" xfId="0" applyNumberFormat="1" applyFont="1" applyBorder="1" applyAlignment="1">
      <alignment horizontal="center" vertical="center"/>
    </xf>
    <xf numFmtId="174" fontId="17" fillId="0" borderId="11" xfId="0" applyNumberFormat="1" applyFont="1" applyBorder="1" applyAlignment="1">
      <alignment horizontal="center" vertical="center"/>
    </xf>
    <xf numFmtId="44" fontId="17" fillId="0" borderId="12" xfId="2" applyNumberFormat="1" applyFont="1" applyFill="1" applyBorder="1" applyAlignment="1" applyProtection="1">
      <alignment horizontal="center" vertical="center"/>
    </xf>
    <xf numFmtId="174" fontId="19" fillId="5" borderId="0" xfId="0" applyNumberFormat="1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44" fontId="8" fillId="6" borderId="16" xfId="2" applyNumberFormat="1" applyFont="1" applyFill="1" applyBorder="1" applyAlignment="1" applyProtection="1">
      <alignment vertical="center"/>
    </xf>
    <xf numFmtId="0" fontId="6" fillId="7" borderId="0" xfId="0" applyFont="1" applyFill="1" applyAlignment="1">
      <alignment vertical="center"/>
    </xf>
    <xf numFmtId="168" fontId="0" fillId="0" borderId="0" xfId="0" applyNumberFormat="1"/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37" fontId="25" fillId="4" borderId="1" xfId="2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168" fontId="29" fillId="5" borderId="1" xfId="2" applyNumberFormat="1" applyFont="1" applyFill="1" applyBorder="1" applyAlignment="1">
      <alignment vertical="center"/>
    </xf>
    <xf numFmtId="0" fontId="8" fillId="5" borderId="1" xfId="0" applyFont="1" applyFill="1" applyBorder="1" applyAlignment="1">
      <alignment horizontal="left" vertical="center"/>
    </xf>
    <xf numFmtId="173" fontId="8" fillId="5" borderId="1" xfId="0" applyNumberFormat="1" applyFont="1" applyFill="1" applyBorder="1" applyAlignment="1">
      <alignment horizontal="left" vertical="center"/>
    </xf>
    <xf numFmtId="3" fontId="7" fillId="0" borderId="4" xfId="0" applyNumberFormat="1" applyFont="1" applyBorder="1" applyAlignment="1">
      <alignment horizontal="left" vertical="center"/>
    </xf>
    <xf numFmtId="49" fontId="21" fillId="0" borderId="1" xfId="0" applyNumberFormat="1" applyFont="1" applyBorder="1" applyAlignment="1">
      <alignment horizontal="center" vertical="center"/>
    </xf>
    <xf numFmtId="0" fontId="1" fillId="8" borderId="0" xfId="3" applyFill="1" applyAlignment="1">
      <alignment horizontal="center"/>
    </xf>
    <xf numFmtId="167" fontId="27" fillId="8" borderId="19" xfId="2" applyFont="1" applyFill="1" applyBorder="1" applyAlignment="1">
      <alignment horizontal="center" wrapText="1"/>
    </xf>
    <xf numFmtId="168" fontId="29" fillId="5" borderId="20" xfId="2" applyNumberFormat="1" applyFont="1" applyFill="1" applyBorder="1" applyAlignment="1">
      <alignment horizontal="right" vertical="center"/>
    </xf>
    <xf numFmtId="0" fontId="21" fillId="0" borderId="21" xfId="3" applyFont="1" applyBorder="1" applyAlignment="1">
      <alignment horizontal="center" vertical="center"/>
    </xf>
    <xf numFmtId="0" fontId="21" fillId="0" borderId="21" xfId="3" applyFont="1" applyBorder="1" applyAlignment="1">
      <alignment horizontal="left" vertical="center"/>
    </xf>
    <xf numFmtId="1" fontId="21" fillId="0" borderId="21" xfId="1" applyNumberFormat="1" applyFont="1" applyFill="1" applyBorder="1" applyAlignment="1">
      <alignment horizontal="center" vertical="center"/>
    </xf>
    <xf numFmtId="170" fontId="21" fillId="0" borderId="21" xfId="5" applyNumberFormat="1" applyFont="1" applyFill="1" applyBorder="1" applyAlignment="1">
      <alignment horizontal="center" vertical="center"/>
    </xf>
    <xf numFmtId="170" fontId="21" fillId="0" borderId="21" xfId="1" applyNumberFormat="1" applyFont="1" applyFill="1" applyBorder="1" applyAlignment="1">
      <alignment horizontal="center" vertical="center"/>
    </xf>
    <xf numFmtId="49" fontId="21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68" fontId="21" fillId="0" borderId="21" xfId="2" applyNumberFormat="1" applyFont="1" applyFill="1" applyBorder="1" applyAlignment="1" applyProtection="1">
      <alignment horizontal="center" vertical="center"/>
      <protection locked="0"/>
    </xf>
    <xf numFmtId="0" fontId="21" fillId="0" borderId="21" xfId="0" applyFont="1" applyBorder="1" applyAlignment="1">
      <alignment horizontal="left" vertical="center"/>
    </xf>
    <xf numFmtId="1" fontId="21" fillId="0" borderId="21" xfId="1" applyNumberFormat="1" applyFont="1" applyFill="1" applyBorder="1" applyAlignment="1" applyProtection="1">
      <alignment horizontal="center" vertical="center"/>
      <protection locked="0"/>
    </xf>
    <xf numFmtId="0" fontId="31" fillId="0" borderId="21" xfId="0" applyFont="1" applyBorder="1" applyAlignment="1">
      <alignment vertical="center"/>
    </xf>
    <xf numFmtId="0" fontId="31" fillId="0" borderId="21" xfId="0" applyFont="1" applyBorder="1" applyAlignment="1">
      <alignment horizontal="center" vertical="center"/>
    </xf>
    <xf numFmtId="164" fontId="31" fillId="0" borderId="21" xfId="0" applyNumberFormat="1" applyFont="1" applyBorder="1" applyAlignment="1">
      <alignment vertical="center"/>
    </xf>
    <xf numFmtId="0" fontId="32" fillId="0" borderId="21" xfId="0" applyFont="1" applyBorder="1" applyAlignment="1">
      <alignment vertical="center" wrapText="1"/>
    </xf>
    <xf numFmtId="0" fontId="2" fillId="0" borderId="21" xfId="0" applyFont="1" applyBorder="1"/>
    <xf numFmtId="168" fontId="21" fillId="0" borderId="21" xfId="2" applyNumberFormat="1" applyFont="1" applyFill="1" applyBorder="1" applyAlignment="1" applyProtection="1">
      <alignment horizontal="left" vertical="center"/>
      <protection locked="0"/>
    </xf>
    <xf numFmtId="14" fontId="17" fillId="0" borderId="0" xfId="0" applyNumberFormat="1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44" fontId="33" fillId="0" borderId="12" xfId="2" applyNumberFormat="1" applyFont="1" applyFill="1" applyBorder="1" applyAlignment="1" applyProtection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24" fillId="7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2" fillId="0" borderId="21" xfId="0" applyFont="1" applyBorder="1" applyAlignment="1">
      <alignment vertical="center" wrapText="1"/>
    </xf>
    <xf numFmtId="38" fontId="26" fillId="8" borderId="0" xfId="1" applyNumberFormat="1" applyFont="1" applyFill="1" applyBorder="1" applyAlignment="1">
      <alignment horizontal="right" wrapText="1"/>
    </xf>
    <xf numFmtId="0" fontId="30" fillId="8" borderId="0" xfId="3" applyFont="1" applyFill="1" applyAlignment="1">
      <alignment horizontal="center" vertical="center"/>
    </xf>
    <xf numFmtId="0" fontId="30" fillId="8" borderId="18" xfId="3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16" fillId="3" borderId="2" xfId="0" applyFont="1" applyFill="1" applyBorder="1" applyAlignment="1" applyProtection="1">
      <alignment horizontal="center" vertical="center"/>
      <protection locked="0"/>
    </xf>
    <xf numFmtId="0" fontId="16" fillId="3" borderId="3" xfId="0" applyFont="1" applyFill="1" applyBorder="1" applyAlignment="1" applyProtection="1">
      <alignment horizontal="center" vertical="center"/>
      <protection locked="0"/>
    </xf>
    <xf numFmtId="0" fontId="16" fillId="3" borderId="6" xfId="0" applyFont="1" applyFill="1" applyBorder="1" applyAlignment="1" applyProtection="1">
      <alignment horizontal="center" vertical="center"/>
      <protection locked="0"/>
    </xf>
    <xf numFmtId="0" fontId="21" fillId="0" borderId="4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7" xfId="0" applyFont="1" applyBorder="1" applyAlignment="1" applyProtection="1">
      <alignment horizontal="center" vertical="center"/>
      <protection locked="0"/>
    </xf>
    <xf numFmtId="44" fontId="21" fillId="0" borderId="0" xfId="0" applyNumberFormat="1" applyFont="1" applyAlignment="1" applyProtection="1">
      <alignment horizontal="center" vertical="center"/>
      <protection locked="0"/>
    </xf>
  </cellXfs>
  <cellStyles count="6">
    <cellStyle name="Moeda" xfId="2" builtinId="4"/>
    <cellStyle name="Moeda 2" xfId="4" xr:uid="{00000000-0005-0000-0000-000001000000}"/>
    <cellStyle name="Normal" xfId="0" builtinId="0"/>
    <cellStyle name="Normal 7" xfId="3" xr:uid="{00000000-0005-0000-0000-000003000000}"/>
    <cellStyle name="Separador de milhares 2 2" xfId="5" xr:uid="{00000000-0005-0000-0000-000004000000}"/>
    <cellStyle name="Vírgula" xfId="1" builtinId="3"/>
  </cellStyles>
  <dxfs count="0"/>
  <tableStyles count="0" defaultTableStyle="TableStyleMedium9" defaultPivotStyle="PivotStyleLight16"/>
  <colors>
    <mruColors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7620</xdr:rowOff>
    </xdr:from>
    <xdr:to>
      <xdr:col>0</xdr:col>
      <xdr:colOff>1043939</xdr:colOff>
      <xdr:row>0</xdr:row>
      <xdr:rowOff>480059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529512-0FA4-CB54-A782-FA518AF68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7620"/>
          <a:ext cx="1021079" cy="4724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6" name="Seta para a direita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5034099" y="4064553"/>
          <a:ext cx="830036" cy="24492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8" name="Seta para a direita 15">
          <a:extLst>
            <a:ext uri="{FF2B5EF4-FFF2-40B4-BE49-F238E27FC236}">
              <a16:creationId xmlns:a16="http://schemas.microsoft.com/office/drawing/2014/main" id="{04D587B8-51BD-4070-85FC-4D1C0F6ED461}"/>
            </a:ext>
          </a:extLst>
        </xdr:cNvPr>
        <xdr:cNvSpPr/>
      </xdr:nvSpPr>
      <xdr:spPr>
        <a:xfrm>
          <a:off x="5138874" y="4045503"/>
          <a:ext cx="830036" cy="24492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P50"/>
  <sheetViews>
    <sheetView workbookViewId="0">
      <selection activeCell="A8" sqref="A8"/>
    </sheetView>
  </sheetViews>
  <sheetFormatPr defaultColWidth="8.88671875" defaultRowHeight="14.4"/>
  <cols>
    <col min="1" max="1" width="26.6640625" customWidth="1"/>
    <col min="2" max="4" width="20.6640625" customWidth="1"/>
    <col min="5" max="6" width="9.109375"/>
    <col min="7" max="7" width="9.88671875" bestFit="1" customWidth="1"/>
    <col min="8" max="8" width="9.109375"/>
    <col min="9" max="9" width="13.33203125" bestFit="1" customWidth="1"/>
    <col min="10" max="16" width="9.109375" customWidth="1"/>
    <col min="17" max="16384" width="8.88671875" style="6"/>
  </cols>
  <sheetData>
    <row r="1" spans="1:16" ht="38.25" customHeight="1">
      <c r="A1" s="50"/>
      <c r="B1" s="85" t="s">
        <v>0</v>
      </c>
      <c r="C1" s="85"/>
      <c r="D1" s="85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>
      <c r="A2" s="9"/>
      <c r="B2" s="10"/>
      <c r="C2" s="11" t="s">
        <v>1</v>
      </c>
      <c r="D2" s="14">
        <f ca="1">TODAY()</f>
        <v>46267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5.6">
      <c r="A3" s="87"/>
      <c r="B3" s="88"/>
      <c r="C3" s="88"/>
      <c r="D3" s="88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>
      <c r="A4" s="84" t="s">
        <v>2</v>
      </c>
      <c r="B4" s="84"/>
      <c r="C4" s="84"/>
      <c r="D4" s="84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84" t="s">
        <v>245</v>
      </c>
      <c r="B5" s="84"/>
      <c r="C5" s="84"/>
      <c r="D5" s="84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84" t="s">
        <v>3</v>
      </c>
      <c r="B6" s="84"/>
      <c r="C6" s="84" t="s">
        <v>4</v>
      </c>
      <c r="D6" s="84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84" t="s">
        <v>246</v>
      </c>
      <c r="B7" s="84"/>
      <c r="C7" s="84"/>
      <c r="D7" s="84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53" t="s">
        <v>5</v>
      </c>
      <c r="B8" s="53"/>
      <c r="C8" s="53"/>
      <c r="D8" s="52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53"/>
      <c r="B9" s="86" t="s">
        <v>6</v>
      </c>
      <c r="C9" s="86"/>
      <c r="D9" s="8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56" t="s">
        <v>7</v>
      </c>
      <c r="B10" s="56" t="s">
        <v>8</v>
      </c>
      <c r="C10" s="56" t="s">
        <v>9</v>
      </c>
      <c r="D10" s="56" t="s">
        <v>10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54">
        <v>1</v>
      </c>
      <c r="B11" s="54">
        <v>0</v>
      </c>
      <c r="C11" s="54">
        <v>0</v>
      </c>
      <c r="D11" s="55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86"/>
      <c r="B12" s="86"/>
      <c r="C12" s="86"/>
      <c r="D12" s="8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58" t="s">
        <v>11</v>
      </c>
      <c r="B13" s="59">
        <f>A17+B17+C17</f>
        <v>15803.64</v>
      </c>
      <c r="C13" s="53"/>
      <c r="D13" s="52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86"/>
      <c r="B14" s="86"/>
      <c r="C14" s="86"/>
      <c r="D14" s="8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84"/>
      <c r="B15" s="84"/>
      <c r="C15" s="84"/>
      <c r="D15" s="84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>
      <c r="A16" s="56" t="s">
        <v>12</v>
      </c>
      <c r="B16" s="56" t="s">
        <v>13</v>
      </c>
      <c r="C16" s="56" t="s">
        <v>14</v>
      </c>
      <c r="D16" s="56" t="s">
        <v>15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15">
        <f>Equipamentos!E2</f>
        <v>0</v>
      </c>
      <c r="B17" s="15">
        <f>Materiais!E2</f>
        <v>0</v>
      </c>
      <c r="C17" s="19">
        <f>'M.O.'!F54</f>
        <v>15803.64</v>
      </c>
      <c r="D17" s="15">
        <f>A17+B17+C17</f>
        <v>15803.64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12"/>
      <c r="B18" s="13"/>
      <c r="C18" s="13"/>
      <c r="D18" s="13"/>
      <c r="E18" s="6"/>
      <c r="F18" s="6"/>
      <c r="G18" s="21"/>
      <c r="H18" s="6"/>
      <c r="I18" s="22"/>
      <c r="J18" s="6"/>
      <c r="K18" s="6"/>
      <c r="L18" s="6"/>
      <c r="M18" s="6"/>
      <c r="N18" s="6"/>
      <c r="O18" s="6"/>
      <c r="P18" s="6"/>
    </row>
    <row r="19" spans="1:16">
      <c r="A19" s="7"/>
      <c r="B19" s="7"/>
      <c r="C19" s="7"/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>
      <c r="A20" s="7"/>
      <c r="B20" s="7"/>
      <c r="C20" s="7"/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7"/>
      <c r="B21" s="7"/>
      <c r="C21" s="7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7"/>
      <c r="B22" s="7"/>
      <c r="C22" s="7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8"/>
      <c r="B23" s="7"/>
      <c r="C23" s="7"/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>
      <c r="A24" s="7"/>
      <c r="B24" s="7"/>
      <c r="C24" s="7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>
      <c r="A25" s="7"/>
      <c r="B25" s="7"/>
      <c r="C25" s="7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7"/>
      <c r="B26" s="7"/>
      <c r="C26" s="7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>
      <c r="A27" s="7"/>
      <c r="B27" s="7"/>
      <c r="C27" s="7"/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>
      <c r="A28" s="7"/>
      <c r="B28" s="7"/>
      <c r="C28" s="7"/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>
      <c r="A29" s="7"/>
      <c r="B29" s="7"/>
      <c r="C29" s="7"/>
      <c r="D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>
      <c r="A30" s="7"/>
      <c r="B30" s="7"/>
      <c r="C30" s="7"/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>
      <c r="A31" s="7"/>
      <c r="B31" s="7"/>
      <c r="C31" s="7"/>
      <c r="D31" s="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>
      <c r="A32" s="7"/>
      <c r="B32" s="7"/>
      <c r="C32" s="7"/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="6" customFormat="1"/>
    <row r="34" s="6" customFormat="1"/>
    <row r="35" s="6" customFormat="1"/>
    <row r="36" s="6" customFormat="1"/>
    <row r="37" s="6" customFormat="1"/>
    <row r="38" s="6" customFormat="1"/>
    <row r="39" s="6" customFormat="1"/>
    <row r="40" s="6" customFormat="1"/>
    <row r="41" s="6" customFormat="1"/>
    <row r="42" s="6" customFormat="1"/>
    <row r="43" s="6" customFormat="1"/>
    <row r="44" s="6" customFormat="1"/>
    <row r="45" s="6" customFormat="1"/>
    <row r="46" s="6" customFormat="1"/>
    <row r="47" s="6" customFormat="1"/>
    <row r="48" s="6" customFormat="1"/>
    <row r="49" s="6" customFormat="1"/>
    <row r="50" s="6" customFormat="1"/>
  </sheetData>
  <mergeCells count="11">
    <mergeCell ref="A15:D15"/>
    <mergeCell ref="B1:D1"/>
    <mergeCell ref="A6:B6"/>
    <mergeCell ref="C6:D6"/>
    <mergeCell ref="A12:D12"/>
    <mergeCell ref="A14:D14"/>
    <mergeCell ref="B9:D9"/>
    <mergeCell ref="A3:D3"/>
    <mergeCell ref="A4:D4"/>
    <mergeCell ref="A5:D5"/>
    <mergeCell ref="A7:D7"/>
  </mergeCells>
  <pageMargins left="0.51181102362204722" right="0.51181102362204722" top="0.78740157480314965" bottom="0.78740157480314965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K127"/>
  <sheetViews>
    <sheetView zoomScaleNormal="100" workbookViewId="0">
      <selection sqref="A1:E2"/>
    </sheetView>
  </sheetViews>
  <sheetFormatPr defaultRowHeight="14.4"/>
  <cols>
    <col min="1" max="1" width="15.5546875" bestFit="1" customWidth="1"/>
    <col min="2" max="2" width="63.44140625" bestFit="1" customWidth="1"/>
    <col min="3" max="3" width="12.5546875" bestFit="1" customWidth="1"/>
    <col min="4" max="4" width="15.44140625" bestFit="1" customWidth="1"/>
    <col min="5" max="5" width="16.109375" bestFit="1" customWidth="1"/>
    <col min="7" max="7" width="31.6640625" bestFit="1" customWidth="1"/>
    <col min="8" max="8" width="10.109375" bestFit="1" customWidth="1"/>
    <col min="9" max="9" width="10.33203125" bestFit="1" customWidth="1"/>
  </cols>
  <sheetData>
    <row r="1" spans="1:11" ht="15.6">
      <c r="A1" s="91" t="s">
        <v>90</v>
      </c>
      <c r="B1" s="91"/>
      <c r="C1" s="90"/>
      <c r="D1" s="90"/>
      <c r="E1" s="63"/>
    </row>
    <row r="2" spans="1:11" ht="18">
      <c r="A2" s="92"/>
      <c r="B2" s="92"/>
      <c r="C2" s="62"/>
      <c r="D2" s="64" t="s">
        <v>11</v>
      </c>
      <c r="E2" s="57">
        <f>SUM(E4:E126)</f>
        <v>0</v>
      </c>
    </row>
    <row r="3" spans="1:11">
      <c r="A3" s="1" t="s">
        <v>17</v>
      </c>
      <c r="B3" s="1" t="s">
        <v>18</v>
      </c>
      <c r="C3" s="2" t="s">
        <v>19</v>
      </c>
      <c r="D3" s="4" t="s">
        <v>91</v>
      </c>
      <c r="E3" s="5" t="s">
        <v>21</v>
      </c>
    </row>
    <row r="4" spans="1:11" s="79" customFormat="1" ht="15.6">
      <c r="A4" s="61" t="s">
        <v>92</v>
      </c>
      <c r="B4" s="75"/>
      <c r="C4" s="76">
        <v>0</v>
      </c>
      <c r="D4" s="77"/>
      <c r="E4" s="72">
        <f t="shared" ref="E4:E38" si="0">C4*D4</f>
        <v>0</v>
      </c>
      <c r="F4" s="89"/>
      <c r="G4" s="89"/>
      <c r="H4" s="89"/>
      <c r="I4" s="89"/>
      <c r="J4" s="89"/>
      <c r="K4" s="78"/>
    </row>
    <row r="5" spans="1:11" s="79" customFormat="1" ht="15.6">
      <c r="A5" s="61" t="s">
        <v>93</v>
      </c>
      <c r="B5" s="75"/>
      <c r="C5" s="76">
        <v>0</v>
      </c>
      <c r="D5" s="77"/>
      <c r="E5" s="72">
        <f t="shared" si="0"/>
        <v>0</v>
      </c>
      <c r="F5" s="89"/>
      <c r="G5" s="89"/>
      <c r="H5" s="89"/>
      <c r="I5" s="89"/>
      <c r="J5" s="89"/>
      <c r="K5" s="78"/>
    </row>
    <row r="6" spans="1:11" s="79" customFormat="1" ht="15.6">
      <c r="A6" s="61" t="s">
        <v>94</v>
      </c>
      <c r="B6" s="75"/>
      <c r="C6" s="76">
        <v>0</v>
      </c>
      <c r="D6" s="77"/>
      <c r="E6" s="72">
        <f t="shared" si="0"/>
        <v>0</v>
      </c>
      <c r="F6" s="89"/>
      <c r="G6" s="89"/>
      <c r="H6" s="89"/>
      <c r="I6" s="89"/>
      <c r="J6" s="89"/>
      <c r="K6" s="78"/>
    </row>
    <row r="7" spans="1:11" s="79" customFormat="1" ht="15.6">
      <c r="A7" s="61" t="s">
        <v>95</v>
      </c>
      <c r="B7" s="75"/>
      <c r="C7" s="76">
        <v>0</v>
      </c>
      <c r="D7" s="77"/>
      <c r="E7" s="72">
        <f t="shared" si="0"/>
        <v>0</v>
      </c>
      <c r="F7" s="89"/>
      <c r="G7" s="89"/>
      <c r="H7" s="89"/>
      <c r="I7" s="89"/>
      <c r="J7" s="89"/>
      <c r="K7" s="78"/>
    </row>
    <row r="8" spans="1:11" s="79" customFormat="1" ht="15.6">
      <c r="A8" s="61" t="s">
        <v>96</v>
      </c>
      <c r="B8" s="75"/>
      <c r="C8" s="76">
        <v>0</v>
      </c>
      <c r="D8" s="77"/>
      <c r="E8" s="72">
        <f t="shared" si="0"/>
        <v>0</v>
      </c>
      <c r="F8" s="89"/>
      <c r="G8" s="89"/>
      <c r="H8" s="89"/>
      <c r="I8" s="89"/>
      <c r="J8" s="89"/>
      <c r="K8" s="78"/>
    </row>
    <row r="9" spans="1:11" s="79" customFormat="1" ht="15.6">
      <c r="A9" s="61" t="s">
        <v>97</v>
      </c>
      <c r="B9" s="75"/>
      <c r="C9" s="76">
        <v>0</v>
      </c>
      <c r="D9" s="77"/>
      <c r="E9" s="72">
        <f t="shared" si="0"/>
        <v>0</v>
      </c>
      <c r="F9" s="89"/>
      <c r="G9" s="89"/>
      <c r="H9" s="89"/>
      <c r="I9" s="89"/>
      <c r="J9" s="89"/>
      <c r="K9" s="78"/>
    </row>
    <row r="10" spans="1:11" s="79" customFormat="1" ht="15.6">
      <c r="A10" s="61" t="s">
        <v>98</v>
      </c>
      <c r="B10" s="75"/>
      <c r="C10" s="76">
        <v>0</v>
      </c>
      <c r="D10" s="77"/>
      <c r="E10" s="72">
        <f t="shared" si="0"/>
        <v>0</v>
      </c>
      <c r="F10" s="89"/>
      <c r="G10" s="89"/>
      <c r="H10" s="89"/>
      <c r="I10" s="89"/>
      <c r="J10" s="89"/>
      <c r="K10" s="78"/>
    </row>
    <row r="11" spans="1:11" s="79" customFormat="1" ht="15.6">
      <c r="A11" s="61" t="s">
        <v>99</v>
      </c>
      <c r="B11" s="75"/>
      <c r="C11" s="76">
        <v>0</v>
      </c>
      <c r="D11" s="77"/>
      <c r="E11" s="72">
        <f t="shared" si="0"/>
        <v>0</v>
      </c>
      <c r="F11" s="89"/>
      <c r="G11" s="89"/>
      <c r="H11" s="89"/>
      <c r="I11" s="89"/>
      <c r="J11" s="89"/>
      <c r="K11" s="78"/>
    </row>
    <row r="12" spans="1:11" s="79" customFormat="1" ht="15.6">
      <c r="A12" s="61" t="s">
        <v>100</v>
      </c>
      <c r="B12" s="75"/>
      <c r="C12" s="76">
        <v>0</v>
      </c>
      <c r="D12" s="77"/>
      <c r="E12" s="72">
        <f t="shared" si="0"/>
        <v>0</v>
      </c>
      <c r="F12" s="89"/>
      <c r="G12" s="89"/>
      <c r="H12" s="89"/>
      <c r="I12" s="89"/>
      <c r="J12" s="89"/>
      <c r="K12" s="78"/>
    </row>
    <row r="13" spans="1:11" s="79" customFormat="1" ht="15.6">
      <c r="A13" s="61" t="s">
        <v>101</v>
      </c>
      <c r="B13" s="75"/>
      <c r="C13" s="76">
        <v>0</v>
      </c>
      <c r="D13" s="77"/>
      <c r="E13" s="72">
        <f t="shared" si="0"/>
        <v>0</v>
      </c>
      <c r="F13" s="89"/>
      <c r="G13" s="89"/>
      <c r="H13" s="89"/>
      <c r="I13" s="89"/>
      <c r="J13" s="89"/>
      <c r="K13" s="78"/>
    </row>
    <row r="14" spans="1:11" s="79" customFormat="1" ht="15.6">
      <c r="A14" s="61" t="s">
        <v>102</v>
      </c>
      <c r="B14" s="75"/>
      <c r="C14" s="76">
        <v>0</v>
      </c>
      <c r="D14" s="77"/>
      <c r="E14" s="72">
        <f t="shared" si="0"/>
        <v>0</v>
      </c>
      <c r="F14" s="89"/>
      <c r="G14" s="89"/>
      <c r="H14" s="89"/>
      <c r="I14" s="89"/>
      <c r="J14" s="89"/>
      <c r="K14" s="78"/>
    </row>
    <row r="15" spans="1:11" s="79" customFormat="1" ht="15.6">
      <c r="A15" s="61" t="s">
        <v>103</v>
      </c>
      <c r="B15" s="75"/>
      <c r="C15" s="76">
        <v>0</v>
      </c>
      <c r="D15" s="77"/>
      <c r="E15" s="72">
        <f t="shared" si="0"/>
        <v>0</v>
      </c>
      <c r="F15" s="89"/>
      <c r="G15" s="89"/>
      <c r="H15" s="89"/>
      <c r="I15" s="89"/>
      <c r="J15" s="89"/>
      <c r="K15" s="78"/>
    </row>
    <row r="16" spans="1:11" s="79" customFormat="1" ht="15.6">
      <c r="A16" s="61" t="s">
        <v>104</v>
      </c>
      <c r="B16" s="75"/>
      <c r="C16" s="76">
        <v>0</v>
      </c>
      <c r="D16" s="77"/>
      <c r="E16" s="72">
        <f t="shared" si="0"/>
        <v>0</v>
      </c>
      <c r="F16" s="89"/>
      <c r="G16" s="89"/>
      <c r="H16" s="89"/>
      <c r="I16" s="89"/>
      <c r="J16" s="89"/>
      <c r="K16" s="78"/>
    </row>
    <row r="17" spans="1:11" s="79" customFormat="1" ht="15.6">
      <c r="A17" s="61" t="s">
        <v>105</v>
      </c>
      <c r="B17" s="75"/>
      <c r="C17" s="76">
        <v>0</v>
      </c>
      <c r="D17" s="77"/>
      <c r="E17" s="72">
        <f t="shared" si="0"/>
        <v>0</v>
      </c>
      <c r="F17" s="89"/>
      <c r="G17" s="89"/>
      <c r="H17" s="89"/>
      <c r="I17" s="89"/>
      <c r="J17" s="89"/>
      <c r="K17" s="78"/>
    </row>
    <row r="18" spans="1:11" s="79" customFormat="1" ht="15.6">
      <c r="A18" s="61" t="s">
        <v>106</v>
      </c>
      <c r="B18" s="75"/>
      <c r="C18" s="76">
        <v>0</v>
      </c>
      <c r="D18" s="77"/>
      <c r="E18" s="72">
        <f t="shared" si="0"/>
        <v>0</v>
      </c>
      <c r="F18" s="89"/>
      <c r="G18" s="89"/>
      <c r="H18" s="89"/>
      <c r="I18" s="89"/>
      <c r="J18" s="89"/>
      <c r="K18" s="78"/>
    </row>
    <row r="19" spans="1:11" s="79" customFormat="1" ht="15.6">
      <c r="A19" s="61" t="s">
        <v>107</v>
      </c>
      <c r="B19" s="75"/>
      <c r="C19" s="76">
        <v>0</v>
      </c>
      <c r="D19" s="77"/>
      <c r="E19" s="72">
        <f t="shared" si="0"/>
        <v>0</v>
      </c>
      <c r="F19" s="89"/>
      <c r="G19" s="89"/>
      <c r="H19" s="89"/>
      <c r="I19" s="89"/>
      <c r="J19" s="89"/>
      <c r="K19" s="78"/>
    </row>
    <row r="20" spans="1:11" s="79" customFormat="1" ht="15.6">
      <c r="A20" s="61" t="s">
        <v>108</v>
      </c>
      <c r="B20" s="75"/>
      <c r="C20" s="76">
        <v>0</v>
      </c>
      <c r="D20" s="77"/>
      <c r="E20" s="72">
        <f t="shared" si="0"/>
        <v>0</v>
      </c>
      <c r="F20" s="89"/>
      <c r="G20" s="89"/>
      <c r="H20" s="89"/>
      <c r="I20" s="89"/>
      <c r="J20" s="89"/>
      <c r="K20" s="78"/>
    </row>
    <row r="21" spans="1:11" s="79" customFormat="1" ht="15.6">
      <c r="A21" s="61" t="s">
        <v>109</v>
      </c>
      <c r="B21" s="75"/>
      <c r="C21" s="76">
        <v>0</v>
      </c>
      <c r="D21" s="77"/>
      <c r="E21" s="72">
        <f t="shared" si="0"/>
        <v>0</v>
      </c>
      <c r="F21" s="89"/>
      <c r="G21" s="89"/>
      <c r="H21" s="89"/>
      <c r="I21" s="89"/>
      <c r="J21" s="89"/>
      <c r="K21" s="78"/>
    </row>
    <row r="22" spans="1:11" s="79" customFormat="1" ht="15.6">
      <c r="A22" s="61" t="s">
        <v>110</v>
      </c>
      <c r="B22" s="75"/>
      <c r="C22" s="76">
        <v>0</v>
      </c>
      <c r="D22" s="77"/>
      <c r="E22" s="72">
        <f t="shared" si="0"/>
        <v>0</v>
      </c>
      <c r="F22" s="89"/>
      <c r="G22" s="89"/>
      <c r="H22" s="89"/>
      <c r="I22" s="89"/>
      <c r="J22" s="89"/>
      <c r="K22" s="78"/>
    </row>
    <row r="23" spans="1:11" s="79" customFormat="1" ht="15.6">
      <c r="A23" s="61" t="s">
        <v>111</v>
      </c>
      <c r="B23" s="75"/>
      <c r="C23" s="76">
        <v>0</v>
      </c>
      <c r="D23" s="77"/>
      <c r="E23" s="72">
        <f t="shared" si="0"/>
        <v>0</v>
      </c>
      <c r="F23" s="89"/>
      <c r="G23" s="89"/>
      <c r="H23" s="89"/>
      <c r="I23" s="89"/>
      <c r="J23" s="89"/>
      <c r="K23" s="78"/>
    </row>
    <row r="24" spans="1:11" s="79" customFormat="1" ht="15.6">
      <c r="A24" s="61" t="s">
        <v>112</v>
      </c>
      <c r="B24" s="75"/>
      <c r="C24" s="76">
        <v>0</v>
      </c>
      <c r="D24" s="77"/>
      <c r="E24" s="72">
        <f t="shared" si="0"/>
        <v>0</v>
      </c>
      <c r="F24" s="89"/>
      <c r="G24" s="89"/>
      <c r="H24" s="89"/>
      <c r="I24" s="89"/>
      <c r="J24" s="89"/>
      <c r="K24" s="78"/>
    </row>
    <row r="25" spans="1:11" s="79" customFormat="1" ht="15.6">
      <c r="A25" s="61" t="s">
        <v>113</v>
      </c>
      <c r="B25" s="75"/>
      <c r="C25" s="76">
        <v>0</v>
      </c>
      <c r="D25" s="77"/>
      <c r="E25" s="72">
        <f t="shared" si="0"/>
        <v>0</v>
      </c>
      <c r="F25" s="89"/>
      <c r="G25" s="89"/>
      <c r="H25" s="89"/>
      <c r="I25" s="89"/>
      <c r="J25" s="89"/>
      <c r="K25" s="78"/>
    </row>
    <row r="26" spans="1:11" s="79" customFormat="1" ht="15.6">
      <c r="A26" s="61" t="s">
        <v>114</v>
      </c>
      <c r="B26" s="75"/>
      <c r="C26" s="76">
        <v>0</v>
      </c>
      <c r="D26" s="77"/>
      <c r="E26" s="72">
        <f t="shared" si="0"/>
        <v>0</v>
      </c>
      <c r="F26" s="89"/>
      <c r="G26" s="89"/>
      <c r="H26" s="89"/>
      <c r="I26" s="89"/>
      <c r="J26" s="89"/>
      <c r="K26" s="78"/>
    </row>
    <row r="27" spans="1:11" s="79" customFormat="1" ht="15.6">
      <c r="A27" s="61" t="s">
        <v>115</v>
      </c>
      <c r="B27" s="75"/>
      <c r="C27" s="76">
        <v>0</v>
      </c>
      <c r="D27" s="77"/>
      <c r="E27" s="72">
        <f t="shared" si="0"/>
        <v>0</v>
      </c>
      <c r="F27" s="89"/>
      <c r="G27" s="89"/>
      <c r="H27" s="89"/>
      <c r="I27" s="89"/>
      <c r="J27" s="89"/>
      <c r="K27" s="78"/>
    </row>
    <row r="28" spans="1:11" s="79" customFormat="1" ht="15.6">
      <c r="A28" s="61" t="s">
        <v>116</v>
      </c>
      <c r="B28" s="75"/>
      <c r="C28" s="76">
        <v>0</v>
      </c>
      <c r="D28" s="77"/>
      <c r="E28" s="72">
        <f t="shared" si="0"/>
        <v>0</v>
      </c>
      <c r="F28" s="89"/>
      <c r="G28" s="89"/>
      <c r="H28" s="89"/>
      <c r="I28" s="89"/>
      <c r="J28" s="89"/>
      <c r="K28" s="78"/>
    </row>
    <row r="29" spans="1:11" s="79" customFormat="1" ht="15.6">
      <c r="A29" s="61" t="s">
        <v>117</v>
      </c>
      <c r="B29" s="75"/>
      <c r="C29" s="76">
        <v>0</v>
      </c>
      <c r="D29" s="77"/>
      <c r="E29" s="72">
        <f t="shared" si="0"/>
        <v>0</v>
      </c>
      <c r="F29" s="89"/>
      <c r="G29" s="89"/>
      <c r="H29" s="89"/>
      <c r="I29" s="89"/>
      <c r="J29" s="89"/>
      <c r="K29" s="78"/>
    </row>
    <row r="30" spans="1:11" s="79" customFormat="1" ht="21" customHeight="1">
      <c r="A30" s="61" t="s">
        <v>118</v>
      </c>
      <c r="B30" s="75"/>
      <c r="C30" s="76">
        <v>0</v>
      </c>
      <c r="D30" s="77"/>
      <c r="E30" s="72">
        <f t="shared" si="0"/>
        <v>0</v>
      </c>
      <c r="F30" s="89"/>
      <c r="G30" s="89"/>
      <c r="H30" s="89"/>
      <c r="I30" s="89"/>
      <c r="J30" s="89"/>
      <c r="K30" s="78"/>
    </row>
    <row r="31" spans="1:11" s="79" customFormat="1" ht="15.6">
      <c r="A31" s="61" t="s">
        <v>119</v>
      </c>
      <c r="B31" s="75"/>
      <c r="C31" s="76">
        <v>0</v>
      </c>
      <c r="D31" s="77"/>
      <c r="E31" s="72">
        <f t="shared" si="0"/>
        <v>0</v>
      </c>
      <c r="F31" s="89"/>
      <c r="G31" s="89"/>
      <c r="H31" s="89"/>
      <c r="I31" s="89"/>
      <c r="J31" s="89"/>
      <c r="K31" s="78"/>
    </row>
    <row r="32" spans="1:11" s="79" customFormat="1" ht="15.6">
      <c r="A32" s="61" t="s">
        <v>120</v>
      </c>
      <c r="B32" s="75"/>
      <c r="C32" s="76">
        <v>0</v>
      </c>
      <c r="D32" s="77"/>
      <c r="E32" s="72">
        <f t="shared" si="0"/>
        <v>0</v>
      </c>
      <c r="F32" s="89"/>
      <c r="G32" s="89"/>
      <c r="H32" s="89"/>
      <c r="I32" s="89"/>
      <c r="J32" s="89"/>
      <c r="K32" s="78"/>
    </row>
    <row r="33" spans="1:11" s="79" customFormat="1" ht="15.6">
      <c r="A33" s="61" t="s">
        <v>121</v>
      </c>
      <c r="B33" s="75"/>
      <c r="C33" s="76">
        <v>0</v>
      </c>
      <c r="D33" s="77"/>
      <c r="E33" s="72">
        <f t="shared" si="0"/>
        <v>0</v>
      </c>
      <c r="F33" s="89"/>
      <c r="G33" s="89"/>
      <c r="H33" s="89"/>
      <c r="I33" s="89"/>
      <c r="J33" s="89"/>
      <c r="K33" s="78"/>
    </row>
    <row r="34" spans="1:11" ht="15.6">
      <c r="A34" s="61" t="s">
        <v>122</v>
      </c>
      <c r="B34" s="75"/>
      <c r="C34" s="76">
        <v>0</v>
      </c>
      <c r="D34" s="77"/>
      <c r="E34" s="72">
        <f t="shared" si="0"/>
        <v>0</v>
      </c>
    </row>
    <row r="35" spans="1:11" ht="15.6">
      <c r="A35" s="61" t="s">
        <v>123</v>
      </c>
      <c r="B35" s="75"/>
      <c r="C35" s="76">
        <v>0</v>
      </c>
      <c r="D35" s="77"/>
      <c r="E35" s="72">
        <f t="shared" si="0"/>
        <v>0</v>
      </c>
    </row>
    <row r="36" spans="1:11" ht="15.6">
      <c r="A36" s="61" t="s">
        <v>124</v>
      </c>
      <c r="B36" s="75"/>
      <c r="C36" s="76">
        <v>0</v>
      </c>
      <c r="D36" s="77"/>
      <c r="E36" s="72">
        <f t="shared" si="0"/>
        <v>0</v>
      </c>
    </row>
    <row r="37" spans="1:11" ht="15.6">
      <c r="A37" s="61" t="s">
        <v>125</v>
      </c>
      <c r="B37" s="75"/>
      <c r="C37" s="76">
        <v>0</v>
      </c>
      <c r="D37" s="77"/>
      <c r="E37" s="72">
        <f t="shared" si="0"/>
        <v>0</v>
      </c>
    </row>
    <row r="38" spans="1:11" ht="15.6">
      <c r="A38" s="61" t="s">
        <v>126</v>
      </c>
      <c r="B38" s="75"/>
      <c r="C38" s="76">
        <v>0</v>
      </c>
      <c r="D38" s="77"/>
      <c r="E38" s="72">
        <f t="shared" si="0"/>
        <v>0</v>
      </c>
    </row>
    <row r="39" spans="1:11" ht="15.6">
      <c r="A39" s="61" t="s">
        <v>127</v>
      </c>
      <c r="B39" s="75"/>
      <c r="C39" s="76">
        <v>0</v>
      </c>
      <c r="D39" s="77"/>
      <c r="E39" s="3"/>
    </row>
    <row r="40" spans="1:11" ht="15.6">
      <c r="A40" s="61" t="s">
        <v>128</v>
      </c>
      <c r="B40" s="75"/>
      <c r="C40" s="76">
        <v>0</v>
      </c>
      <c r="D40" s="77"/>
      <c r="E40" s="3"/>
    </row>
    <row r="41" spans="1:11" ht="15.6">
      <c r="A41" s="61" t="s">
        <v>129</v>
      </c>
      <c r="B41" s="75"/>
      <c r="C41" s="76">
        <v>0</v>
      </c>
      <c r="D41" s="77"/>
      <c r="E41" s="3"/>
    </row>
    <row r="42" spans="1:11" ht="15.6">
      <c r="A42" s="61" t="s">
        <v>130</v>
      </c>
      <c r="B42" s="75"/>
      <c r="C42" s="76">
        <v>0</v>
      </c>
      <c r="D42" s="77"/>
      <c r="E42" s="3"/>
    </row>
    <row r="43" spans="1:11" ht="15.6">
      <c r="A43" s="61" t="s">
        <v>131</v>
      </c>
      <c r="B43" s="75"/>
      <c r="C43" s="76">
        <v>0</v>
      </c>
      <c r="D43" s="77"/>
      <c r="E43" s="3"/>
    </row>
    <row r="44" spans="1:11" ht="15.6">
      <c r="A44" s="61" t="s">
        <v>132</v>
      </c>
      <c r="B44" s="75"/>
      <c r="C44" s="76">
        <v>0</v>
      </c>
      <c r="D44" s="77"/>
      <c r="E44" s="3"/>
    </row>
    <row r="45" spans="1:11" ht="15.6">
      <c r="A45" s="61" t="s">
        <v>133</v>
      </c>
      <c r="B45" s="75"/>
      <c r="C45" s="76">
        <v>0</v>
      </c>
      <c r="D45" s="77"/>
      <c r="E45" s="3"/>
    </row>
    <row r="46" spans="1:11" ht="15.6">
      <c r="A46" s="61" t="s">
        <v>134</v>
      </c>
      <c r="B46" s="75"/>
      <c r="C46" s="76">
        <v>0</v>
      </c>
      <c r="D46" s="77"/>
      <c r="E46" s="3"/>
    </row>
    <row r="47" spans="1:11" ht="15.6">
      <c r="A47" s="61" t="s">
        <v>135</v>
      </c>
      <c r="B47" s="3"/>
      <c r="C47" s="76">
        <v>0</v>
      </c>
      <c r="D47" s="77"/>
      <c r="E47" s="3"/>
    </row>
    <row r="48" spans="1:11" ht="15.6">
      <c r="A48" s="61" t="s">
        <v>136</v>
      </c>
      <c r="B48" s="3"/>
      <c r="C48" s="76">
        <v>0</v>
      </c>
      <c r="D48" s="77"/>
      <c r="E48" s="3"/>
    </row>
    <row r="49" spans="1:5" ht="15.6">
      <c r="A49" s="61" t="s">
        <v>137</v>
      </c>
      <c r="B49" s="3"/>
      <c r="C49" s="76">
        <v>0</v>
      </c>
      <c r="D49" s="77"/>
      <c r="E49" s="3"/>
    </row>
    <row r="50" spans="1:5" ht="15.6">
      <c r="A50" s="61" t="s">
        <v>138</v>
      </c>
      <c r="B50" s="3"/>
      <c r="C50" s="76">
        <v>0</v>
      </c>
      <c r="D50" s="77"/>
      <c r="E50" s="3"/>
    </row>
    <row r="51" spans="1:5" ht="15.6">
      <c r="A51" s="61" t="s">
        <v>139</v>
      </c>
      <c r="B51" s="3"/>
      <c r="C51" s="20"/>
      <c r="D51" s="77"/>
      <c r="E51" s="3"/>
    </row>
    <row r="52" spans="1:5" ht="15.6">
      <c r="A52" s="61" t="s">
        <v>140</v>
      </c>
      <c r="B52" s="3"/>
      <c r="C52" s="20"/>
      <c r="D52" s="77"/>
      <c r="E52" s="3"/>
    </row>
    <row r="53" spans="1:5" ht="15.6">
      <c r="A53" s="61" t="s">
        <v>141</v>
      </c>
      <c r="B53" s="3"/>
      <c r="C53" s="20"/>
      <c r="D53" s="77"/>
      <c r="E53" s="3"/>
    </row>
    <row r="54" spans="1:5" ht="15.6">
      <c r="A54" s="61" t="s">
        <v>142</v>
      </c>
      <c r="B54" s="3"/>
      <c r="C54" s="20"/>
      <c r="D54" s="77"/>
      <c r="E54" s="3"/>
    </row>
    <row r="55" spans="1:5" ht="15.6">
      <c r="A55" s="61" t="s">
        <v>143</v>
      </c>
      <c r="B55" s="3"/>
      <c r="C55" s="20"/>
      <c r="D55" s="77"/>
      <c r="E55" s="3"/>
    </row>
    <row r="56" spans="1:5" ht="15.6">
      <c r="A56" s="61" t="s">
        <v>144</v>
      </c>
      <c r="B56" s="3"/>
      <c r="C56" s="20"/>
      <c r="D56" s="77"/>
      <c r="E56" s="3"/>
    </row>
    <row r="57" spans="1:5" ht="15.6">
      <c r="A57" s="61" t="s">
        <v>145</v>
      </c>
      <c r="B57" s="3"/>
      <c r="C57" s="20"/>
      <c r="D57" s="77"/>
      <c r="E57" s="3"/>
    </row>
    <row r="58" spans="1:5" ht="15.6">
      <c r="A58" s="61" t="s">
        <v>146</v>
      </c>
      <c r="B58" s="3"/>
      <c r="C58" s="20"/>
      <c r="D58" s="77"/>
      <c r="E58" s="3"/>
    </row>
    <row r="59" spans="1:5" ht="15.6">
      <c r="A59" s="61" t="s">
        <v>147</v>
      </c>
      <c r="B59" s="3"/>
      <c r="C59" s="20"/>
      <c r="D59" s="77"/>
      <c r="E59" s="3"/>
    </row>
    <row r="60" spans="1:5" ht="15.6">
      <c r="A60" s="61" t="s">
        <v>148</v>
      </c>
      <c r="B60" s="3"/>
      <c r="C60" s="20"/>
      <c r="D60" s="77"/>
      <c r="E60" s="3"/>
    </row>
    <row r="61" spans="1:5" ht="15.6">
      <c r="A61" s="61" t="s">
        <v>149</v>
      </c>
      <c r="B61" s="3"/>
      <c r="C61" s="20"/>
      <c r="D61" s="77"/>
      <c r="E61" s="3"/>
    </row>
    <row r="62" spans="1:5" ht="15.6">
      <c r="A62" s="61" t="s">
        <v>150</v>
      </c>
      <c r="B62" s="3"/>
      <c r="C62" s="20"/>
      <c r="D62" s="77"/>
      <c r="E62" s="3"/>
    </row>
    <row r="63" spans="1:5" ht="15.6">
      <c r="A63" s="61" t="s">
        <v>151</v>
      </c>
      <c r="B63" s="3"/>
      <c r="C63" s="20"/>
      <c r="D63" s="77"/>
      <c r="E63" s="3"/>
    </row>
    <row r="64" spans="1:5" ht="15.6">
      <c r="A64" s="61" t="s">
        <v>152</v>
      </c>
      <c r="B64" s="3"/>
      <c r="C64" s="20"/>
      <c r="D64" s="77"/>
      <c r="E64" s="3"/>
    </row>
    <row r="65" spans="1:5" ht="15.6">
      <c r="A65" s="61" t="s">
        <v>153</v>
      </c>
      <c r="B65" s="3"/>
      <c r="C65" s="20"/>
      <c r="D65" s="77"/>
      <c r="E65" s="3"/>
    </row>
    <row r="66" spans="1:5" ht="15.6">
      <c r="A66" s="61" t="s">
        <v>154</v>
      </c>
      <c r="B66" s="3"/>
      <c r="C66" s="20"/>
      <c r="D66" s="77"/>
      <c r="E66" s="3"/>
    </row>
    <row r="67" spans="1:5" ht="15.6">
      <c r="A67" s="61" t="s">
        <v>155</v>
      </c>
      <c r="B67" s="3"/>
      <c r="C67" s="20"/>
      <c r="D67" s="77"/>
      <c r="E67" s="3"/>
    </row>
    <row r="68" spans="1:5" ht="15.6">
      <c r="A68" s="61" t="s">
        <v>156</v>
      </c>
      <c r="B68" s="3"/>
      <c r="C68" s="20"/>
      <c r="D68" s="77"/>
      <c r="E68" s="3"/>
    </row>
    <row r="69" spans="1:5" ht="15.6">
      <c r="A69" s="61" t="s">
        <v>157</v>
      </c>
      <c r="B69" s="3"/>
      <c r="C69" s="20"/>
      <c r="D69" s="77"/>
      <c r="E69" s="3"/>
    </row>
    <row r="70" spans="1:5" ht="15.6">
      <c r="A70" s="61" t="s">
        <v>158</v>
      </c>
      <c r="B70" s="3"/>
      <c r="C70" s="20"/>
      <c r="D70" s="77"/>
      <c r="E70" s="3"/>
    </row>
    <row r="71" spans="1:5" ht="15.6">
      <c r="A71" s="61" t="s">
        <v>159</v>
      </c>
      <c r="B71" s="3"/>
      <c r="C71" s="20"/>
      <c r="D71" s="77"/>
      <c r="E71" s="3"/>
    </row>
    <row r="72" spans="1:5" ht="15.6">
      <c r="A72" s="61" t="s">
        <v>160</v>
      </c>
      <c r="B72" s="3"/>
      <c r="C72" s="20"/>
      <c r="D72" s="77"/>
      <c r="E72" s="3"/>
    </row>
    <row r="73" spans="1:5" ht="15.6">
      <c r="A73" s="61" t="s">
        <v>161</v>
      </c>
      <c r="B73" s="3"/>
      <c r="C73" s="20"/>
      <c r="D73" s="77"/>
      <c r="E73" s="3"/>
    </row>
    <row r="74" spans="1:5" ht="15.6">
      <c r="A74" s="61" t="s">
        <v>162</v>
      </c>
      <c r="B74" s="3"/>
      <c r="C74" s="20"/>
      <c r="D74" s="77"/>
      <c r="E74" s="3"/>
    </row>
    <row r="75" spans="1:5" ht="15.6">
      <c r="A75" s="61" t="s">
        <v>163</v>
      </c>
      <c r="B75" s="3"/>
      <c r="C75" s="20"/>
      <c r="D75" s="77"/>
      <c r="E75" s="3"/>
    </row>
    <row r="76" spans="1:5" ht="15.6">
      <c r="A76" s="61" t="s">
        <v>164</v>
      </c>
      <c r="B76" s="3"/>
      <c r="C76" s="20"/>
      <c r="D76" s="77"/>
      <c r="E76" s="3"/>
    </row>
    <row r="77" spans="1:5" ht="15.6">
      <c r="A77" s="61" t="s">
        <v>165</v>
      </c>
      <c r="B77" s="3"/>
      <c r="C77" s="20"/>
      <c r="D77" s="77"/>
      <c r="E77" s="3"/>
    </row>
    <row r="78" spans="1:5" ht="15.6">
      <c r="A78" s="61" t="s">
        <v>166</v>
      </c>
      <c r="B78" s="3"/>
      <c r="C78" s="20"/>
      <c r="D78" s="77"/>
      <c r="E78" s="3"/>
    </row>
    <row r="79" spans="1:5" ht="15.6">
      <c r="A79" s="61" t="s">
        <v>167</v>
      </c>
      <c r="B79" s="3"/>
      <c r="C79" s="20"/>
      <c r="D79" s="77"/>
      <c r="E79" s="3"/>
    </row>
    <row r="80" spans="1:5" ht="15.6">
      <c r="A80" s="61" t="s">
        <v>168</v>
      </c>
      <c r="B80" s="3"/>
      <c r="C80" s="20"/>
      <c r="D80" s="77"/>
      <c r="E80" s="3"/>
    </row>
    <row r="81" spans="1:5" ht="15.6">
      <c r="A81" s="61" t="s">
        <v>169</v>
      </c>
      <c r="B81" s="3"/>
      <c r="C81" s="20"/>
      <c r="D81" s="77"/>
      <c r="E81" s="3"/>
    </row>
    <row r="82" spans="1:5" ht="15.6">
      <c r="A82" s="61" t="s">
        <v>170</v>
      </c>
      <c r="B82" s="3"/>
      <c r="C82" s="20"/>
      <c r="D82" s="77"/>
      <c r="E82" s="3"/>
    </row>
    <row r="83" spans="1:5" ht="15.6">
      <c r="A83" s="61" t="s">
        <v>171</v>
      </c>
      <c r="B83" s="3"/>
      <c r="C83" s="20"/>
      <c r="D83" s="77"/>
      <c r="E83" s="3"/>
    </row>
    <row r="84" spans="1:5" ht="15.6">
      <c r="A84" s="61" t="s">
        <v>172</v>
      </c>
      <c r="B84" s="3"/>
      <c r="C84" s="20"/>
      <c r="D84" s="77"/>
      <c r="E84" s="3"/>
    </row>
    <row r="85" spans="1:5" ht="15.6">
      <c r="A85" s="61" t="s">
        <v>173</v>
      </c>
      <c r="B85" s="3"/>
      <c r="C85" s="20"/>
      <c r="D85" s="77"/>
      <c r="E85" s="3"/>
    </row>
    <row r="86" spans="1:5" ht="15.6">
      <c r="A86" s="61" t="s">
        <v>174</v>
      </c>
      <c r="B86" s="3"/>
      <c r="C86" s="20"/>
      <c r="D86" s="77"/>
      <c r="E86" s="3"/>
    </row>
    <row r="87" spans="1:5" ht="15.6">
      <c r="A87" s="61" t="s">
        <v>175</v>
      </c>
      <c r="B87" s="3"/>
      <c r="C87" s="20"/>
      <c r="D87" s="77"/>
      <c r="E87" s="3"/>
    </row>
    <row r="88" spans="1:5" ht="15.6">
      <c r="A88" s="61" t="s">
        <v>176</v>
      </c>
      <c r="B88" s="3"/>
      <c r="C88" s="20"/>
      <c r="D88" s="77"/>
      <c r="E88" s="3"/>
    </row>
    <row r="89" spans="1:5" ht="15.6">
      <c r="A89" s="61" t="s">
        <v>177</v>
      </c>
      <c r="B89" s="3"/>
      <c r="C89" s="20"/>
      <c r="D89" s="77"/>
      <c r="E89" s="3"/>
    </row>
    <row r="90" spans="1:5" ht="15.6">
      <c r="A90" s="61" t="s">
        <v>178</v>
      </c>
      <c r="B90" s="3"/>
      <c r="C90" s="20"/>
      <c r="D90" s="77"/>
      <c r="E90" s="3"/>
    </row>
    <row r="91" spans="1:5" ht="15.6">
      <c r="A91" s="61" t="s">
        <v>179</v>
      </c>
      <c r="B91" s="3"/>
      <c r="C91" s="20"/>
      <c r="D91" s="77"/>
      <c r="E91" s="3"/>
    </row>
    <row r="92" spans="1:5" ht="15.6">
      <c r="A92" s="61" t="s">
        <v>180</v>
      </c>
      <c r="B92" s="3"/>
      <c r="C92" s="20"/>
      <c r="D92" s="77"/>
      <c r="E92" s="3"/>
    </row>
    <row r="93" spans="1:5" ht="15.6">
      <c r="A93" s="61" t="s">
        <v>181</v>
      </c>
      <c r="B93" s="3"/>
      <c r="C93" s="20"/>
      <c r="D93" s="77"/>
      <c r="E93" s="3"/>
    </row>
    <row r="94" spans="1:5" ht="15.6">
      <c r="A94" s="61" t="s">
        <v>182</v>
      </c>
      <c r="B94" s="3"/>
      <c r="C94" s="20"/>
      <c r="D94" s="77"/>
      <c r="E94" s="3"/>
    </row>
    <row r="95" spans="1:5" ht="15.6">
      <c r="A95" s="61" t="s">
        <v>183</v>
      </c>
      <c r="B95" s="3"/>
      <c r="C95" s="20"/>
      <c r="D95" s="77"/>
      <c r="E95" s="3"/>
    </row>
    <row r="96" spans="1:5" ht="15.6">
      <c r="A96" s="61" t="s">
        <v>184</v>
      </c>
      <c r="B96" s="3"/>
      <c r="C96" s="20"/>
      <c r="D96" s="77"/>
      <c r="E96" s="3"/>
    </row>
    <row r="97" spans="1:5" ht="15.6">
      <c r="A97" s="61" t="s">
        <v>185</v>
      </c>
      <c r="B97" s="3"/>
      <c r="C97" s="20"/>
      <c r="D97" s="77"/>
      <c r="E97" s="3"/>
    </row>
    <row r="98" spans="1:5" ht="15.6">
      <c r="A98" s="61" t="s">
        <v>186</v>
      </c>
      <c r="B98" s="3"/>
      <c r="C98" s="20"/>
      <c r="D98" s="77"/>
      <c r="E98" s="3"/>
    </row>
    <row r="99" spans="1:5" ht="15.6">
      <c r="A99" s="61" t="s">
        <v>187</v>
      </c>
      <c r="B99" s="3"/>
      <c r="C99" s="20"/>
      <c r="D99" s="77"/>
      <c r="E99" s="3"/>
    </row>
    <row r="100" spans="1:5" ht="15.6">
      <c r="A100" s="61" t="s">
        <v>188</v>
      </c>
      <c r="B100" s="3"/>
      <c r="C100" s="20"/>
      <c r="D100" s="77"/>
      <c r="E100" s="3"/>
    </row>
    <row r="101" spans="1:5" ht="15.6">
      <c r="A101" s="61" t="s">
        <v>189</v>
      </c>
      <c r="B101" s="3"/>
      <c r="C101" s="20"/>
      <c r="D101" s="77"/>
      <c r="E101" s="3"/>
    </row>
    <row r="102" spans="1:5" ht="15.6">
      <c r="A102" s="61" t="s">
        <v>190</v>
      </c>
      <c r="B102" s="3"/>
      <c r="C102" s="20"/>
      <c r="D102" s="77"/>
      <c r="E102" s="3"/>
    </row>
    <row r="103" spans="1:5" ht="15.6">
      <c r="A103" s="61" t="s">
        <v>191</v>
      </c>
      <c r="B103" s="3"/>
      <c r="C103" s="20"/>
      <c r="D103" s="77"/>
      <c r="E103" s="3"/>
    </row>
    <row r="104" spans="1:5" ht="15.6">
      <c r="A104" s="61" t="s">
        <v>192</v>
      </c>
      <c r="B104" s="3"/>
      <c r="C104" s="20"/>
      <c r="D104" s="77"/>
      <c r="E104" s="3"/>
    </row>
    <row r="105" spans="1:5" ht="15.6">
      <c r="A105" s="61" t="s">
        <v>193</v>
      </c>
      <c r="B105" s="3"/>
      <c r="C105" s="20"/>
      <c r="D105" s="77"/>
      <c r="E105" s="3"/>
    </row>
    <row r="106" spans="1:5" ht="15.6">
      <c r="A106" s="61" t="s">
        <v>194</v>
      </c>
      <c r="B106" s="3"/>
      <c r="C106" s="20"/>
      <c r="D106" s="77"/>
      <c r="E106" s="3"/>
    </row>
    <row r="107" spans="1:5" ht="15.6">
      <c r="A107" s="61" t="s">
        <v>195</v>
      </c>
      <c r="B107" s="3"/>
      <c r="C107" s="20"/>
      <c r="D107" s="77"/>
      <c r="E107" s="3"/>
    </row>
    <row r="108" spans="1:5" ht="15.6">
      <c r="A108" s="61" t="s">
        <v>196</v>
      </c>
      <c r="B108" s="3"/>
      <c r="C108" s="20"/>
      <c r="D108" s="77"/>
      <c r="E108" s="3"/>
    </row>
    <row r="109" spans="1:5" ht="15.6">
      <c r="A109" s="61" t="s">
        <v>197</v>
      </c>
      <c r="B109" s="3"/>
      <c r="C109" s="20"/>
      <c r="D109" s="77"/>
      <c r="E109" s="3"/>
    </row>
    <row r="110" spans="1:5" ht="15.6">
      <c r="A110" s="61" t="s">
        <v>198</v>
      </c>
      <c r="B110" s="3"/>
      <c r="C110" s="20"/>
      <c r="D110" s="77"/>
      <c r="E110" s="3"/>
    </row>
    <row r="111" spans="1:5" ht="15.6">
      <c r="A111" s="61" t="s">
        <v>199</v>
      </c>
      <c r="B111" s="3"/>
      <c r="C111" s="20"/>
      <c r="D111" s="77"/>
      <c r="E111" s="3"/>
    </row>
    <row r="112" spans="1:5" ht="15.6">
      <c r="A112" s="61" t="s">
        <v>200</v>
      </c>
      <c r="B112" s="3"/>
      <c r="C112" s="20"/>
      <c r="D112" s="77"/>
      <c r="E112" s="3"/>
    </row>
    <row r="113" spans="1:5" ht="15.6">
      <c r="A113" s="61" t="s">
        <v>201</v>
      </c>
      <c r="B113" s="3"/>
      <c r="C113" s="20"/>
      <c r="D113" s="77"/>
      <c r="E113" s="3"/>
    </row>
    <row r="114" spans="1:5" ht="15.6">
      <c r="A114" s="61" t="s">
        <v>202</v>
      </c>
      <c r="B114" s="3"/>
      <c r="C114" s="20"/>
      <c r="D114" s="77"/>
      <c r="E114" s="3"/>
    </row>
    <row r="115" spans="1:5" ht="15.6">
      <c r="A115" s="61" t="s">
        <v>203</v>
      </c>
      <c r="B115" s="3"/>
      <c r="C115" s="20"/>
      <c r="D115" s="77"/>
      <c r="E115" s="3"/>
    </row>
    <row r="116" spans="1:5" ht="15.6">
      <c r="A116" s="61" t="s">
        <v>204</v>
      </c>
      <c r="B116" s="3"/>
      <c r="C116" s="20"/>
      <c r="D116" s="77"/>
      <c r="E116" s="3"/>
    </row>
    <row r="117" spans="1:5" ht="15.6">
      <c r="A117" s="61" t="s">
        <v>205</v>
      </c>
      <c r="B117" s="3"/>
      <c r="C117" s="20"/>
      <c r="D117" s="77"/>
      <c r="E117" s="3"/>
    </row>
    <row r="118" spans="1:5" ht="15.6">
      <c r="A118" s="61" t="s">
        <v>206</v>
      </c>
      <c r="B118" s="3"/>
      <c r="C118" s="20"/>
      <c r="D118" s="3"/>
      <c r="E118" s="3"/>
    </row>
    <row r="119" spans="1:5" ht="15.6">
      <c r="A119" s="61" t="s">
        <v>207</v>
      </c>
      <c r="B119" s="3"/>
      <c r="C119" s="20"/>
      <c r="D119" s="3"/>
      <c r="E119" s="3"/>
    </row>
    <row r="120" spans="1:5" ht="15.6">
      <c r="A120" s="61" t="s">
        <v>208</v>
      </c>
      <c r="B120" s="3"/>
      <c r="C120" s="20"/>
      <c r="D120" s="3"/>
      <c r="E120" s="3"/>
    </row>
    <row r="121" spans="1:5" ht="15.6">
      <c r="A121" s="61" t="s">
        <v>209</v>
      </c>
      <c r="B121" s="3"/>
      <c r="C121" s="20"/>
      <c r="D121" s="3"/>
      <c r="E121" s="3"/>
    </row>
    <row r="122" spans="1:5" ht="15.6">
      <c r="A122" s="61" t="s">
        <v>210</v>
      </c>
      <c r="B122" s="3"/>
      <c r="C122" s="20"/>
      <c r="D122" s="3"/>
      <c r="E122" s="3"/>
    </row>
    <row r="123" spans="1:5" ht="15.6">
      <c r="A123" s="61" t="s">
        <v>211</v>
      </c>
      <c r="B123" s="3"/>
      <c r="C123" s="20"/>
      <c r="D123" s="3"/>
      <c r="E123" s="3"/>
    </row>
    <row r="124" spans="1:5" ht="15.6">
      <c r="A124" s="61" t="s">
        <v>212</v>
      </c>
      <c r="B124" s="3"/>
      <c r="C124" s="20"/>
      <c r="D124" s="3"/>
      <c r="E124" s="3"/>
    </row>
    <row r="125" spans="1:5" ht="15.6">
      <c r="A125" s="61" t="s">
        <v>213</v>
      </c>
      <c r="B125" s="3"/>
      <c r="C125" s="20"/>
      <c r="D125" s="3"/>
      <c r="E125" s="3"/>
    </row>
    <row r="126" spans="1:5" ht="15.6">
      <c r="A126" s="61" t="s">
        <v>214</v>
      </c>
      <c r="B126" s="3"/>
      <c r="C126" s="20"/>
      <c r="D126" s="3"/>
      <c r="E126" s="3"/>
    </row>
    <row r="127" spans="1:5">
      <c r="D127" s="51">
        <f>SUM(D4:D126)</f>
        <v>0</v>
      </c>
      <c r="E127" s="51">
        <f>SUM(E4:E126)</f>
        <v>0</v>
      </c>
    </row>
  </sheetData>
  <autoFilter ref="A3:E126" xr:uid="{00000000-0009-0000-0000-000001000000}"/>
  <mergeCells count="62">
    <mergeCell ref="C1:D1"/>
    <mergeCell ref="A1:B2"/>
    <mergeCell ref="F4:H4"/>
    <mergeCell ref="I4:J4"/>
    <mergeCell ref="F5:H5"/>
    <mergeCell ref="I5:J5"/>
    <mergeCell ref="F6:H6"/>
    <mergeCell ref="I6:J6"/>
    <mergeCell ref="F7:H7"/>
    <mergeCell ref="I7:J7"/>
    <mergeCell ref="F8:H8"/>
    <mergeCell ref="I8:J8"/>
    <mergeCell ref="F9:H9"/>
    <mergeCell ref="I9:J9"/>
    <mergeCell ref="F13:H13"/>
    <mergeCell ref="I13:J13"/>
    <mergeCell ref="F10:H10"/>
    <mergeCell ref="I10:J10"/>
    <mergeCell ref="F11:H11"/>
    <mergeCell ref="I11:J11"/>
    <mergeCell ref="F12:H12"/>
    <mergeCell ref="I12:J12"/>
    <mergeCell ref="F14:H14"/>
    <mergeCell ref="I14:J14"/>
    <mergeCell ref="F15:H15"/>
    <mergeCell ref="I15:J15"/>
    <mergeCell ref="F16:H16"/>
    <mergeCell ref="I16:J16"/>
    <mergeCell ref="F20:H20"/>
    <mergeCell ref="I20:J20"/>
    <mergeCell ref="F17:H17"/>
    <mergeCell ref="I17:J17"/>
    <mergeCell ref="F18:H18"/>
    <mergeCell ref="I18:J18"/>
    <mergeCell ref="F19:H19"/>
    <mergeCell ref="I19:J19"/>
    <mergeCell ref="F21:H21"/>
    <mergeCell ref="I21:J21"/>
    <mergeCell ref="F22:H22"/>
    <mergeCell ref="I22:J22"/>
    <mergeCell ref="F23:H23"/>
    <mergeCell ref="I23:J23"/>
    <mergeCell ref="F24:H24"/>
    <mergeCell ref="I24:J24"/>
    <mergeCell ref="F25:H25"/>
    <mergeCell ref="I25:J25"/>
    <mergeCell ref="F26:H26"/>
    <mergeCell ref="I26:J26"/>
    <mergeCell ref="F27:H27"/>
    <mergeCell ref="I27:J27"/>
    <mergeCell ref="F28:H28"/>
    <mergeCell ref="I28:J28"/>
    <mergeCell ref="F29:H29"/>
    <mergeCell ref="I29:J29"/>
    <mergeCell ref="F33:H33"/>
    <mergeCell ref="I33:J33"/>
    <mergeCell ref="F30:H30"/>
    <mergeCell ref="I30:J30"/>
    <mergeCell ref="F31:H31"/>
    <mergeCell ref="I31:J31"/>
    <mergeCell ref="F32:H32"/>
    <mergeCell ref="I32:J32"/>
  </mergeCells>
  <phoneticPr fontId="28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3C78-E60E-452E-9D9B-C373E0402669}">
  <dimension ref="A1:K72"/>
  <sheetViews>
    <sheetView zoomScale="90" zoomScaleNormal="90" workbookViewId="0">
      <selection sqref="A1:E2"/>
    </sheetView>
  </sheetViews>
  <sheetFormatPr defaultColWidth="8.88671875" defaultRowHeight="15.6"/>
  <cols>
    <col min="1" max="1" width="15" style="71" bestFit="1" customWidth="1"/>
    <col min="2" max="2" width="86" style="73" bestFit="1" customWidth="1"/>
    <col min="3" max="3" width="19" style="71" bestFit="1" customWidth="1"/>
    <col min="4" max="4" width="18.88671875" style="71" bestFit="1" customWidth="1"/>
    <col min="5" max="5" width="16.5546875" style="71" bestFit="1" customWidth="1"/>
    <col min="6" max="16384" width="8.88671875" style="71"/>
  </cols>
  <sheetData>
    <row r="1" spans="1:11">
      <c r="A1" s="91" t="s">
        <v>16</v>
      </c>
      <c r="B1" s="91"/>
      <c r="C1" s="90">
        <f ca="1">TODAY()</f>
        <v>46267</v>
      </c>
      <c r="D1" s="90"/>
      <c r="E1" s="63"/>
    </row>
    <row r="2" spans="1:11" ht="18">
      <c r="A2" s="92"/>
      <c r="B2" s="92"/>
      <c r="C2" s="62"/>
      <c r="D2" s="64" t="s">
        <v>11</v>
      </c>
      <c r="E2" s="57">
        <f>SUM(E4:E72)</f>
        <v>0</v>
      </c>
    </row>
    <row r="3" spans="1:11">
      <c r="A3" s="65" t="s">
        <v>17</v>
      </c>
      <c r="B3" s="66" t="s">
        <v>18</v>
      </c>
      <c r="C3" s="67" t="s">
        <v>19</v>
      </c>
      <c r="D3" s="68" t="s">
        <v>20</v>
      </c>
      <c r="E3" s="69" t="s">
        <v>21</v>
      </c>
    </row>
    <row r="4" spans="1:11" ht="15" customHeight="1">
      <c r="A4" s="70" t="s">
        <v>22</v>
      </c>
      <c r="C4" s="74">
        <v>0</v>
      </c>
      <c r="D4" s="72"/>
      <c r="E4" s="72">
        <f t="shared" ref="E4:E34" si="0">C4*D4</f>
        <v>0</v>
      </c>
    </row>
    <row r="5" spans="1:11">
      <c r="A5" s="70" t="s">
        <v>23</v>
      </c>
      <c r="C5" s="74">
        <v>0</v>
      </c>
      <c r="D5" s="72"/>
      <c r="E5" s="72">
        <f t="shared" si="0"/>
        <v>0</v>
      </c>
    </row>
    <row r="6" spans="1:11">
      <c r="A6" s="70" t="s">
        <v>24</v>
      </c>
      <c r="C6" s="74">
        <v>0</v>
      </c>
      <c r="D6" s="72"/>
      <c r="E6" s="72">
        <f t="shared" si="0"/>
        <v>0</v>
      </c>
    </row>
    <row r="7" spans="1:11">
      <c r="A7" s="70" t="s">
        <v>25</v>
      </c>
      <c r="C7" s="74">
        <v>0</v>
      </c>
      <c r="D7" s="72"/>
      <c r="E7" s="72">
        <f t="shared" si="0"/>
        <v>0</v>
      </c>
    </row>
    <row r="8" spans="1:11">
      <c r="A8" s="70" t="s">
        <v>26</v>
      </c>
      <c r="C8" s="74">
        <v>0</v>
      </c>
      <c r="D8" s="72"/>
      <c r="E8" s="72">
        <f t="shared" si="0"/>
        <v>0</v>
      </c>
    </row>
    <row r="9" spans="1:11" ht="21" customHeight="1">
      <c r="A9" s="70" t="s">
        <v>27</v>
      </c>
      <c r="C9" s="74">
        <v>0</v>
      </c>
      <c r="D9" s="72"/>
      <c r="E9" s="72">
        <f t="shared" si="0"/>
        <v>0</v>
      </c>
    </row>
    <row r="10" spans="1:11" s="79" customFormat="1">
      <c r="A10" s="70" t="s">
        <v>28</v>
      </c>
      <c r="B10" s="73"/>
      <c r="C10" s="74">
        <v>0</v>
      </c>
      <c r="D10" s="72"/>
      <c r="E10" s="72">
        <f t="shared" si="0"/>
        <v>0</v>
      </c>
      <c r="F10" s="71"/>
      <c r="G10" s="71"/>
      <c r="H10" s="71"/>
      <c r="I10" s="71"/>
      <c r="J10" s="71"/>
      <c r="K10" s="78"/>
    </row>
    <row r="11" spans="1:11" s="79" customFormat="1">
      <c r="A11" s="70" t="s">
        <v>29</v>
      </c>
      <c r="B11" s="73"/>
      <c r="C11" s="74">
        <v>0</v>
      </c>
      <c r="D11" s="72"/>
      <c r="E11" s="72">
        <f t="shared" si="0"/>
        <v>0</v>
      </c>
      <c r="F11" s="71"/>
      <c r="G11" s="71"/>
      <c r="H11" s="71"/>
      <c r="I11" s="71"/>
      <c r="J11" s="71"/>
      <c r="K11" s="78"/>
    </row>
    <row r="12" spans="1:11" s="79" customFormat="1">
      <c r="A12" s="70" t="s">
        <v>30</v>
      </c>
      <c r="B12" s="73"/>
      <c r="C12" s="74">
        <v>0</v>
      </c>
      <c r="D12" s="72"/>
      <c r="E12" s="72">
        <f t="shared" si="0"/>
        <v>0</v>
      </c>
      <c r="F12" s="71"/>
      <c r="G12" s="71"/>
      <c r="H12" s="71"/>
      <c r="I12" s="71"/>
      <c r="J12" s="71"/>
      <c r="K12" s="78"/>
    </row>
    <row r="13" spans="1:11" s="79" customFormat="1">
      <c r="A13" s="70" t="s">
        <v>31</v>
      </c>
      <c r="B13" s="73"/>
      <c r="C13" s="74">
        <v>0</v>
      </c>
      <c r="D13" s="72"/>
      <c r="E13" s="72">
        <f t="shared" si="0"/>
        <v>0</v>
      </c>
      <c r="F13" s="71"/>
      <c r="G13" s="71"/>
      <c r="H13" s="71"/>
      <c r="I13" s="71"/>
      <c r="J13" s="71"/>
      <c r="K13" s="78"/>
    </row>
    <row r="14" spans="1:11" s="79" customFormat="1">
      <c r="A14" s="70" t="s">
        <v>32</v>
      </c>
      <c r="B14" s="73"/>
      <c r="C14" s="74">
        <v>0</v>
      </c>
      <c r="D14" s="72"/>
      <c r="E14" s="72">
        <f t="shared" si="0"/>
        <v>0</v>
      </c>
      <c r="F14" s="71"/>
      <c r="G14" s="71"/>
      <c r="H14" s="71"/>
      <c r="I14" s="71"/>
      <c r="J14" s="71"/>
      <c r="K14" s="78"/>
    </row>
    <row r="15" spans="1:11" s="79" customFormat="1">
      <c r="A15" s="70" t="s">
        <v>33</v>
      </c>
      <c r="B15" s="73"/>
      <c r="C15" s="74">
        <v>0</v>
      </c>
      <c r="D15" s="72"/>
      <c r="E15" s="72">
        <f t="shared" si="0"/>
        <v>0</v>
      </c>
      <c r="F15" s="71"/>
      <c r="G15" s="71"/>
      <c r="H15" s="71"/>
      <c r="I15" s="71"/>
      <c r="J15" s="71"/>
      <c r="K15" s="78"/>
    </row>
    <row r="16" spans="1:11" s="79" customFormat="1">
      <c r="A16" s="70" t="s">
        <v>34</v>
      </c>
      <c r="B16" s="73"/>
      <c r="C16" s="74">
        <v>0</v>
      </c>
      <c r="D16" s="72"/>
      <c r="E16" s="72">
        <f t="shared" si="0"/>
        <v>0</v>
      </c>
      <c r="F16" s="71"/>
      <c r="G16" s="71"/>
      <c r="H16" s="71"/>
      <c r="I16" s="71"/>
      <c r="J16" s="71"/>
      <c r="K16" s="78"/>
    </row>
    <row r="17" spans="1:11" s="79" customFormat="1">
      <c r="A17" s="70" t="s">
        <v>35</v>
      </c>
      <c r="B17" s="73"/>
      <c r="C17" s="74">
        <v>0</v>
      </c>
      <c r="D17" s="72"/>
      <c r="E17" s="72">
        <f t="shared" si="0"/>
        <v>0</v>
      </c>
      <c r="F17" s="71"/>
      <c r="G17" s="71"/>
      <c r="H17" s="71"/>
      <c r="I17" s="71"/>
      <c r="J17" s="71"/>
      <c r="K17" s="78"/>
    </row>
    <row r="18" spans="1:11" s="79" customFormat="1">
      <c r="A18" s="70" t="s">
        <v>36</v>
      </c>
      <c r="B18" s="73"/>
      <c r="C18" s="74">
        <v>0</v>
      </c>
      <c r="D18" s="72"/>
      <c r="E18" s="72">
        <f t="shared" si="0"/>
        <v>0</v>
      </c>
      <c r="F18" s="71"/>
      <c r="G18" s="71"/>
      <c r="H18" s="71"/>
      <c r="I18" s="71"/>
      <c r="J18" s="71"/>
      <c r="K18" s="78"/>
    </row>
    <row r="19" spans="1:11" s="79" customFormat="1">
      <c r="A19" s="70" t="s">
        <v>37</v>
      </c>
      <c r="B19" s="73"/>
      <c r="C19" s="74">
        <v>0</v>
      </c>
      <c r="D19" s="72"/>
      <c r="E19" s="72">
        <f t="shared" si="0"/>
        <v>0</v>
      </c>
      <c r="F19" s="71"/>
      <c r="G19" s="71"/>
      <c r="H19" s="71"/>
      <c r="I19" s="71"/>
      <c r="J19" s="71"/>
      <c r="K19" s="78"/>
    </row>
    <row r="20" spans="1:11" s="79" customFormat="1">
      <c r="A20" s="70" t="s">
        <v>38</v>
      </c>
      <c r="B20" s="73"/>
      <c r="C20" s="74">
        <v>0</v>
      </c>
      <c r="D20" s="72"/>
      <c r="E20" s="72">
        <f t="shared" si="0"/>
        <v>0</v>
      </c>
      <c r="F20" s="71"/>
      <c r="G20" s="71"/>
      <c r="H20" s="71"/>
      <c r="I20" s="71"/>
      <c r="J20" s="71"/>
      <c r="K20" s="78"/>
    </row>
    <row r="21" spans="1:11" s="79" customFormat="1">
      <c r="A21" s="70" t="s">
        <v>39</v>
      </c>
      <c r="B21" s="73"/>
      <c r="C21" s="74">
        <v>0</v>
      </c>
      <c r="D21" s="72"/>
      <c r="E21" s="72">
        <f t="shared" si="0"/>
        <v>0</v>
      </c>
      <c r="F21" s="71"/>
      <c r="G21" s="71"/>
      <c r="H21" s="71"/>
      <c r="I21" s="71"/>
      <c r="J21" s="71"/>
      <c r="K21" s="78"/>
    </row>
    <row r="22" spans="1:11" s="79" customFormat="1">
      <c r="A22" s="70" t="s">
        <v>40</v>
      </c>
      <c r="B22" s="73"/>
      <c r="C22" s="74">
        <v>0</v>
      </c>
      <c r="D22" s="72"/>
      <c r="E22" s="72">
        <f t="shared" si="0"/>
        <v>0</v>
      </c>
      <c r="F22" s="71"/>
      <c r="G22" s="71"/>
      <c r="H22" s="71"/>
      <c r="I22" s="71"/>
      <c r="J22" s="71"/>
      <c r="K22" s="78"/>
    </row>
    <row r="23" spans="1:11" s="79" customFormat="1">
      <c r="A23" s="70" t="s">
        <v>41</v>
      </c>
      <c r="B23" s="73"/>
      <c r="C23" s="74">
        <v>0</v>
      </c>
      <c r="D23" s="72"/>
      <c r="E23" s="72">
        <f t="shared" si="0"/>
        <v>0</v>
      </c>
      <c r="F23" s="71"/>
      <c r="G23" s="71"/>
      <c r="H23" s="71"/>
      <c r="I23" s="71"/>
      <c r="J23" s="71"/>
      <c r="K23" s="78"/>
    </row>
    <row r="24" spans="1:11" s="79" customFormat="1">
      <c r="A24" s="70" t="s">
        <v>42</v>
      </c>
      <c r="B24" s="73"/>
      <c r="C24" s="74">
        <v>0</v>
      </c>
      <c r="D24" s="72"/>
      <c r="E24" s="72">
        <f t="shared" si="0"/>
        <v>0</v>
      </c>
      <c r="F24" s="71"/>
      <c r="G24" s="71"/>
      <c r="H24" s="71"/>
      <c r="I24" s="71"/>
      <c r="J24" s="71"/>
      <c r="K24" s="78"/>
    </row>
    <row r="25" spans="1:11" s="79" customFormat="1">
      <c r="A25" s="70" t="s">
        <v>43</v>
      </c>
      <c r="B25" s="73"/>
      <c r="C25" s="74">
        <v>0</v>
      </c>
      <c r="D25" s="72"/>
      <c r="E25" s="72">
        <f t="shared" si="0"/>
        <v>0</v>
      </c>
      <c r="F25" s="71"/>
      <c r="G25" s="71"/>
      <c r="H25" s="71"/>
      <c r="I25" s="71"/>
      <c r="J25" s="71"/>
      <c r="K25" s="78"/>
    </row>
    <row r="26" spans="1:11" s="79" customFormat="1">
      <c r="A26" s="70" t="s">
        <v>44</v>
      </c>
      <c r="B26" s="73"/>
      <c r="C26" s="74">
        <v>0</v>
      </c>
      <c r="D26" s="72"/>
      <c r="E26" s="72">
        <f t="shared" si="0"/>
        <v>0</v>
      </c>
      <c r="F26" s="71"/>
      <c r="G26" s="71"/>
      <c r="H26" s="71"/>
      <c r="I26" s="71"/>
      <c r="J26" s="71"/>
      <c r="K26" s="78"/>
    </row>
    <row r="27" spans="1:11" s="79" customFormat="1">
      <c r="A27" s="70" t="s">
        <v>45</v>
      </c>
      <c r="B27" s="73"/>
      <c r="C27" s="74">
        <v>0</v>
      </c>
      <c r="D27" s="72"/>
      <c r="E27" s="72">
        <f t="shared" si="0"/>
        <v>0</v>
      </c>
      <c r="F27" s="71"/>
      <c r="G27" s="71"/>
      <c r="H27" s="71"/>
      <c r="I27" s="71"/>
      <c r="J27" s="71"/>
      <c r="K27" s="78"/>
    </row>
    <row r="28" spans="1:11" s="79" customFormat="1">
      <c r="A28" s="70" t="s">
        <v>238</v>
      </c>
      <c r="B28" s="73"/>
      <c r="C28" s="74">
        <v>0</v>
      </c>
      <c r="D28" s="72"/>
      <c r="E28" s="72">
        <f t="shared" si="0"/>
        <v>0</v>
      </c>
      <c r="F28" s="71"/>
      <c r="G28" s="71"/>
      <c r="H28" s="71"/>
      <c r="I28" s="71"/>
      <c r="J28" s="71"/>
      <c r="K28" s="78"/>
    </row>
    <row r="29" spans="1:11" s="79" customFormat="1">
      <c r="A29" s="70" t="s">
        <v>46</v>
      </c>
      <c r="B29" s="73"/>
      <c r="C29" s="74">
        <v>0</v>
      </c>
      <c r="D29" s="72"/>
      <c r="E29" s="72">
        <f t="shared" si="0"/>
        <v>0</v>
      </c>
      <c r="F29" s="71"/>
      <c r="G29" s="71"/>
      <c r="H29" s="71"/>
      <c r="I29" s="71"/>
      <c r="J29" s="71"/>
      <c r="K29" s="78"/>
    </row>
    <row r="30" spans="1:11" s="79" customFormat="1">
      <c r="A30" s="70" t="s">
        <v>47</v>
      </c>
      <c r="B30" s="73"/>
      <c r="C30" s="74">
        <v>0</v>
      </c>
      <c r="D30" s="72"/>
      <c r="E30" s="72">
        <f t="shared" si="0"/>
        <v>0</v>
      </c>
      <c r="F30" s="71"/>
      <c r="G30" s="71"/>
      <c r="H30" s="71"/>
      <c r="I30" s="71"/>
      <c r="J30" s="71"/>
      <c r="K30" s="78"/>
    </row>
    <row r="31" spans="1:11" s="79" customFormat="1">
      <c r="A31" s="70" t="s">
        <v>48</v>
      </c>
      <c r="B31" s="73"/>
      <c r="C31" s="74">
        <v>0</v>
      </c>
      <c r="D31" s="72"/>
      <c r="E31" s="72">
        <f t="shared" si="0"/>
        <v>0</v>
      </c>
      <c r="F31" s="71"/>
      <c r="G31" s="71"/>
      <c r="H31" s="71"/>
      <c r="I31" s="71"/>
      <c r="J31" s="71"/>
      <c r="K31" s="78"/>
    </row>
    <row r="32" spans="1:11" s="79" customFormat="1">
      <c r="A32" s="70" t="s">
        <v>49</v>
      </c>
      <c r="B32" s="73"/>
      <c r="C32" s="74">
        <v>0</v>
      </c>
      <c r="D32" s="72"/>
      <c r="E32" s="72">
        <f t="shared" si="0"/>
        <v>0</v>
      </c>
      <c r="F32" s="71"/>
      <c r="G32" s="71"/>
      <c r="H32" s="71"/>
      <c r="I32" s="71"/>
      <c r="J32" s="71"/>
      <c r="K32" s="78"/>
    </row>
    <row r="33" spans="1:11" s="79" customFormat="1">
      <c r="A33" s="70" t="s">
        <v>50</v>
      </c>
      <c r="B33" s="73"/>
      <c r="C33" s="74">
        <v>0</v>
      </c>
      <c r="D33" s="72"/>
      <c r="E33" s="72">
        <f t="shared" si="0"/>
        <v>0</v>
      </c>
      <c r="F33" s="71"/>
      <c r="G33" s="71"/>
      <c r="H33" s="71"/>
      <c r="I33" s="71"/>
      <c r="J33" s="71"/>
      <c r="K33" s="78"/>
    </row>
    <row r="34" spans="1:11" s="79" customFormat="1">
      <c r="A34" s="70" t="s">
        <v>51</v>
      </c>
      <c r="B34" s="73"/>
      <c r="C34" s="74">
        <v>0</v>
      </c>
      <c r="D34" s="72"/>
      <c r="E34" s="72">
        <f t="shared" si="0"/>
        <v>0</v>
      </c>
      <c r="F34" s="71"/>
      <c r="G34" s="71"/>
      <c r="H34" s="71"/>
      <c r="I34" s="71"/>
      <c r="J34" s="71"/>
      <c r="K34" s="78"/>
    </row>
    <row r="35" spans="1:11">
      <c r="A35" s="70" t="s">
        <v>52</v>
      </c>
      <c r="C35" s="74">
        <v>0</v>
      </c>
      <c r="D35" s="72"/>
      <c r="E35" s="72">
        <f t="shared" ref="E35:E57" si="1">C35*D35</f>
        <v>0</v>
      </c>
    </row>
    <row r="36" spans="1:11">
      <c r="A36" s="70" t="s">
        <v>53</v>
      </c>
      <c r="C36" s="74">
        <v>0</v>
      </c>
      <c r="D36" s="72"/>
      <c r="E36" s="72">
        <f t="shared" si="1"/>
        <v>0</v>
      </c>
    </row>
    <row r="37" spans="1:11">
      <c r="A37" s="70" t="s">
        <v>54</v>
      </c>
      <c r="C37" s="74">
        <v>0</v>
      </c>
      <c r="D37" s="72"/>
      <c r="E37" s="72">
        <f t="shared" si="1"/>
        <v>0</v>
      </c>
    </row>
    <row r="38" spans="1:11">
      <c r="A38" s="70" t="s">
        <v>55</v>
      </c>
      <c r="C38" s="74">
        <v>0</v>
      </c>
      <c r="D38" s="72"/>
      <c r="E38" s="72">
        <f t="shared" si="1"/>
        <v>0</v>
      </c>
    </row>
    <row r="39" spans="1:11">
      <c r="A39" s="70" t="s">
        <v>56</v>
      </c>
      <c r="C39" s="74">
        <v>0</v>
      </c>
      <c r="D39" s="72"/>
      <c r="E39" s="72">
        <f t="shared" si="1"/>
        <v>0</v>
      </c>
    </row>
    <row r="40" spans="1:11">
      <c r="A40" s="70" t="s">
        <v>57</v>
      </c>
      <c r="C40" s="74">
        <v>0</v>
      </c>
      <c r="D40" s="72"/>
      <c r="E40" s="72">
        <f t="shared" si="1"/>
        <v>0</v>
      </c>
    </row>
    <row r="41" spans="1:11">
      <c r="A41" s="70" t="s">
        <v>58</v>
      </c>
      <c r="C41" s="74">
        <v>0</v>
      </c>
      <c r="D41" s="72"/>
      <c r="E41" s="72">
        <f t="shared" si="1"/>
        <v>0</v>
      </c>
    </row>
    <row r="42" spans="1:11">
      <c r="A42" s="70" t="s">
        <v>59</v>
      </c>
      <c r="C42" s="74">
        <v>0</v>
      </c>
      <c r="D42" s="72"/>
      <c r="E42" s="72">
        <f t="shared" si="1"/>
        <v>0</v>
      </c>
    </row>
    <row r="43" spans="1:11">
      <c r="A43" s="70" t="s">
        <v>60</v>
      </c>
      <c r="C43" s="74">
        <v>0</v>
      </c>
      <c r="D43" s="72"/>
      <c r="E43" s="72">
        <f t="shared" si="1"/>
        <v>0</v>
      </c>
    </row>
    <row r="44" spans="1:11">
      <c r="A44" s="70" t="s">
        <v>61</v>
      </c>
      <c r="C44" s="74">
        <v>0</v>
      </c>
      <c r="D44" s="72"/>
      <c r="E44" s="72">
        <f t="shared" si="1"/>
        <v>0</v>
      </c>
    </row>
    <row r="45" spans="1:11">
      <c r="A45" s="70" t="s">
        <v>62</v>
      </c>
      <c r="C45" s="74">
        <v>0</v>
      </c>
      <c r="D45" s="72"/>
      <c r="E45" s="72">
        <f t="shared" si="1"/>
        <v>0</v>
      </c>
    </row>
    <row r="46" spans="1:11">
      <c r="A46" s="70" t="s">
        <v>63</v>
      </c>
      <c r="C46" s="74">
        <v>0</v>
      </c>
      <c r="D46" s="72"/>
      <c r="E46" s="72">
        <f t="shared" si="1"/>
        <v>0</v>
      </c>
    </row>
    <row r="47" spans="1:11">
      <c r="A47" s="70" t="s">
        <v>64</v>
      </c>
      <c r="C47" s="74">
        <v>0</v>
      </c>
      <c r="D47" s="72"/>
      <c r="E47" s="72">
        <f t="shared" si="1"/>
        <v>0</v>
      </c>
    </row>
    <row r="48" spans="1:11">
      <c r="A48" s="70" t="s">
        <v>65</v>
      </c>
      <c r="B48" s="80"/>
      <c r="C48" s="74">
        <v>0</v>
      </c>
      <c r="D48" s="72"/>
      <c r="E48" s="72">
        <f t="shared" si="1"/>
        <v>0</v>
      </c>
    </row>
    <row r="49" spans="1:5">
      <c r="A49" s="70" t="s">
        <v>66</v>
      </c>
      <c r="B49" s="80"/>
      <c r="C49" s="74">
        <v>0</v>
      </c>
      <c r="D49" s="72"/>
      <c r="E49" s="72">
        <f t="shared" si="1"/>
        <v>0</v>
      </c>
    </row>
    <row r="50" spans="1:5">
      <c r="A50" s="70" t="s">
        <v>67</v>
      </c>
      <c r="B50" s="80"/>
      <c r="C50" s="74">
        <v>0</v>
      </c>
      <c r="D50" s="72"/>
      <c r="E50" s="72">
        <f t="shared" si="1"/>
        <v>0</v>
      </c>
    </row>
    <row r="51" spans="1:5">
      <c r="A51" s="70" t="s">
        <v>68</v>
      </c>
      <c r="B51" s="80"/>
      <c r="C51" s="74">
        <v>0</v>
      </c>
      <c r="D51" s="72"/>
      <c r="E51" s="72">
        <f t="shared" si="1"/>
        <v>0</v>
      </c>
    </row>
    <row r="52" spans="1:5">
      <c r="A52" s="70" t="s">
        <v>69</v>
      </c>
      <c r="B52" s="80"/>
      <c r="C52" s="74">
        <v>0</v>
      </c>
      <c r="D52" s="72"/>
      <c r="E52" s="72">
        <f t="shared" si="1"/>
        <v>0</v>
      </c>
    </row>
    <row r="53" spans="1:5">
      <c r="A53" s="70" t="s">
        <v>70</v>
      </c>
      <c r="B53" s="80"/>
      <c r="C53" s="74"/>
      <c r="D53" s="72"/>
      <c r="E53" s="72">
        <f t="shared" si="1"/>
        <v>0</v>
      </c>
    </row>
    <row r="54" spans="1:5">
      <c r="A54" s="70" t="s">
        <v>71</v>
      </c>
      <c r="B54" s="80"/>
      <c r="C54" s="74"/>
      <c r="D54" s="72"/>
      <c r="E54" s="72">
        <f t="shared" si="1"/>
        <v>0</v>
      </c>
    </row>
    <row r="55" spans="1:5">
      <c r="A55" s="70" t="s">
        <v>72</v>
      </c>
      <c r="B55" s="80"/>
      <c r="C55" s="74"/>
      <c r="D55" s="72"/>
      <c r="E55" s="72">
        <f t="shared" si="1"/>
        <v>0</v>
      </c>
    </row>
    <row r="56" spans="1:5">
      <c r="A56" s="70" t="s">
        <v>73</v>
      </c>
      <c r="B56" s="80"/>
      <c r="C56" s="74"/>
      <c r="D56" s="72"/>
      <c r="E56" s="72">
        <f t="shared" si="1"/>
        <v>0</v>
      </c>
    </row>
    <row r="57" spans="1:5">
      <c r="A57" s="70" t="s">
        <v>74</v>
      </c>
      <c r="B57" s="80"/>
      <c r="C57" s="74"/>
      <c r="D57" s="72"/>
      <c r="E57" s="72">
        <f t="shared" si="1"/>
        <v>0</v>
      </c>
    </row>
    <row r="58" spans="1:5">
      <c r="A58" s="70" t="s">
        <v>75</v>
      </c>
      <c r="B58" s="80"/>
      <c r="C58" s="74"/>
      <c r="D58" s="72"/>
      <c r="E58" s="72">
        <f t="shared" ref="E58:E72" si="2">C58*D58</f>
        <v>0</v>
      </c>
    </row>
    <row r="59" spans="1:5">
      <c r="A59" s="70" t="s">
        <v>76</v>
      </c>
      <c r="B59" s="80"/>
      <c r="C59" s="74"/>
      <c r="D59" s="72"/>
      <c r="E59" s="72">
        <f t="shared" si="2"/>
        <v>0</v>
      </c>
    </row>
    <row r="60" spans="1:5">
      <c r="A60" s="70" t="s">
        <v>77</v>
      </c>
      <c r="B60" s="80"/>
      <c r="C60" s="74"/>
      <c r="D60" s="72"/>
      <c r="E60" s="72">
        <f t="shared" si="2"/>
        <v>0</v>
      </c>
    </row>
    <row r="61" spans="1:5">
      <c r="A61" s="70" t="s">
        <v>78</v>
      </c>
      <c r="B61" s="80"/>
      <c r="C61" s="74"/>
      <c r="D61" s="72"/>
      <c r="E61" s="72">
        <f t="shared" si="2"/>
        <v>0</v>
      </c>
    </row>
    <row r="62" spans="1:5">
      <c r="A62" s="70" t="s">
        <v>79</v>
      </c>
      <c r="B62" s="80"/>
      <c r="C62" s="74"/>
      <c r="D62" s="72"/>
      <c r="E62" s="72">
        <f t="shared" si="2"/>
        <v>0</v>
      </c>
    </row>
    <row r="63" spans="1:5">
      <c r="A63" s="70" t="s">
        <v>80</v>
      </c>
      <c r="B63" s="80"/>
      <c r="C63" s="74"/>
      <c r="D63" s="72"/>
      <c r="E63" s="72">
        <f t="shared" si="2"/>
        <v>0</v>
      </c>
    </row>
    <row r="64" spans="1:5">
      <c r="A64" s="70" t="s">
        <v>81</v>
      </c>
      <c r="B64" s="80"/>
      <c r="C64" s="74"/>
      <c r="D64" s="72"/>
      <c r="E64" s="72">
        <f t="shared" si="2"/>
        <v>0</v>
      </c>
    </row>
    <row r="65" spans="1:5">
      <c r="A65" s="70" t="s">
        <v>82</v>
      </c>
      <c r="B65" s="80"/>
      <c r="C65" s="74"/>
      <c r="D65" s="72"/>
      <c r="E65" s="72">
        <f t="shared" si="2"/>
        <v>0</v>
      </c>
    </row>
    <row r="66" spans="1:5">
      <c r="A66" s="70" t="s">
        <v>83</v>
      </c>
      <c r="B66" s="80"/>
      <c r="C66" s="74"/>
      <c r="D66" s="72"/>
      <c r="E66" s="72">
        <f t="shared" si="2"/>
        <v>0</v>
      </c>
    </row>
    <row r="67" spans="1:5">
      <c r="A67" s="70" t="s">
        <v>84</v>
      </c>
      <c r="B67" s="80"/>
      <c r="C67" s="74"/>
      <c r="D67" s="72"/>
      <c r="E67" s="72">
        <f t="shared" si="2"/>
        <v>0</v>
      </c>
    </row>
    <row r="68" spans="1:5">
      <c r="A68" s="70" t="s">
        <v>85</v>
      </c>
      <c r="B68" s="80"/>
      <c r="C68" s="74"/>
      <c r="D68" s="72"/>
      <c r="E68" s="72">
        <f t="shared" si="2"/>
        <v>0</v>
      </c>
    </row>
    <row r="69" spans="1:5">
      <c r="A69" s="70" t="s">
        <v>86</v>
      </c>
      <c r="B69" s="80"/>
      <c r="C69" s="74"/>
      <c r="D69" s="72"/>
      <c r="E69" s="72">
        <f t="shared" si="2"/>
        <v>0</v>
      </c>
    </row>
    <row r="70" spans="1:5">
      <c r="A70" s="70" t="s">
        <v>87</v>
      </c>
      <c r="B70" s="80"/>
      <c r="C70" s="74"/>
      <c r="D70" s="72"/>
      <c r="E70" s="72">
        <f t="shared" si="2"/>
        <v>0</v>
      </c>
    </row>
    <row r="71" spans="1:5">
      <c r="A71" s="70" t="s">
        <v>88</v>
      </c>
      <c r="B71" s="80"/>
      <c r="C71" s="74"/>
      <c r="D71" s="72"/>
      <c r="E71" s="72">
        <f t="shared" si="2"/>
        <v>0</v>
      </c>
    </row>
    <row r="72" spans="1:5">
      <c r="A72" s="70" t="s">
        <v>89</v>
      </c>
      <c r="B72" s="80"/>
      <c r="C72" s="74"/>
      <c r="D72" s="72"/>
      <c r="E72" s="72">
        <f t="shared" si="2"/>
        <v>0</v>
      </c>
    </row>
  </sheetData>
  <autoFilter ref="A3:E72" xr:uid="{00000000-0009-0000-0000-000001000000}"/>
  <mergeCells count="2">
    <mergeCell ref="A1:B2"/>
    <mergeCell ref="C1:D1"/>
  </mergeCells>
  <phoneticPr fontId="28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I54"/>
  <sheetViews>
    <sheetView showGridLines="0" tabSelected="1" topLeftCell="B1" workbookViewId="0">
      <selection activeCell="F32" sqref="F32"/>
    </sheetView>
  </sheetViews>
  <sheetFormatPr defaultRowHeight="21.75" customHeight="1"/>
  <cols>
    <col min="1" max="1" width="1.33203125" style="16" customWidth="1"/>
    <col min="2" max="2" width="81.33203125" style="16" customWidth="1"/>
    <col min="3" max="3" width="13" style="16" customWidth="1"/>
    <col min="4" max="4" width="14.33203125" style="16" customWidth="1"/>
    <col min="5" max="5" width="10.88671875" style="16" bestFit="1" customWidth="1"/>
    <col min="6" max="6" width="19.33203125" style="16" customWidth="1"/>
    <col min="7" max="7" width="13.77734375" style="16" customWidth="1"/>
    <col min="8" max="8" width="10.5546875" style="16" customWidth="1"/>
    <col min="9" max="9" width="10.5546875" style="16" bestFit="1" customWidth="1"/>
    <col min="10" max="169" width="9.109375" style="16"/>
    <col min="170" max="170" width="54.44140625" style="16" customWidth="1"/>
    <col min="171" max="171" width="14.88671875" style="16" customWidth="1"/>
    <col min="172" max="172" width="19" style="16" bestFit="1" customWidth="1"/>
    <col min="173" max="174" width="18.33203125" style="16" customWidth="1"/>
    <col min="175" max="250" width="9.109375" style="16"/>
    <col min="251" max="251" width="3" style="16" customWidth="1"/>
    <col min="252" max="252" width="5" style="16" bestFit="1" customWidth="1"/>
    <col min="253" max="253" width="81.88671875" style="16" customWidth="1"/>
    <col min="254" max="254" width="11.44140625" style="16" customWidth="1"/>
    <col min="255" max="255" width="15.88671875" style="16" customWidth="1"/>
    <col min="256" max="256" width="17.33203125" style="16" customWidth="1"/>
    <col min="257" max="257" width="22.33203125" style="16" customWidth="1"/>
    <col min="258" max="425" width="9.109375" style="16"/>
    <col min="426" max="426" width="54.44140625" style="16" customWidth="1"/>
    <col min="427" max="427" width="14.88671875" style="16" customWidth="1"/>
    <col min="428" max="428" width="19" style="16" bestFit="1" customWidth="1"/>
    <col min="429" max="430" width="18.33203125" style="16" customWidth="1"/>
    <col min="431" max="506" width="9.109375" style="16"/>
    <col min="507" max="507" width="3" style="16" customWidth="1"/>
    <col min="508" max="508" width="5" style="16" bestFit="1" customWidth="1"/>
    <col min="509" max="509" width="81.88671875" style="16" customWidth="1"/>
    <col min="510" max="510" width="11.44140625" style="16" customWidth="1"/>
    <col min="511" max="511" width="15.88671875" style="16" customWidth="1"/>
    <col min="512" max="512" width="17.33203125" style="16" customWidth="1"/>
    <col min="513" max="513" width="22.33203125" style="16" customWidth="1"/>
    <col min="514" max="681" width="9.109375" style="16"/>
    <col min="682" max="682" width="54.44140625" style="16" customWidth="1"/>
    <col min="683" max="683" width="14.88671875" style="16" customWidth="1"/>
    <col min="684" max="684" width="19" style="16" bestFit="1" customWidth="1"/>
    <col min="685" max="686" width="18.33203125" style="16" customWidth="1"/>
    <col min="687" max="762" width="9.109375" style="16"/>
    <col min="763" max="763" width="3" style="16" customWidth="1"/>
    <col min="764" max="764" width="5" style="16" bestFit="1" customWidth="1"/>
    <col min="765" max="765" width="81.88671875" style="16" customWidth="1"/>
    <col min="766" max="766" width="11.44140625" style="16" customWidth="1"/>
    <col min="767" max="767" width="15.88671875" style="16" customWidth="1"/>
    <col min="768" max="768" width="17.33203125" style="16" customWidth="1"/>
    <col min="769" max="769" width="22.33203125" style="16" customWidth="1"/>
    <col min="770" max="937" width="9.109375" style="16"/>
    <col min="938" max="938" width="54.44140625" style="16" customWidth="1"/>
    <col min="939" max="939" width="14.88671875" style="16" customWidth="1"/>
    <col min="940" max="940" width="19" style="16" bestFit="1" customWidth="1"/>
    <col min="941" max="942" width="18.33203125" style="16" customWidth="1"/>
    <col min="943" max="1018" width="9.109375" style="16"/>
    <col min="1019" max="1019" width="3" style="16" customWidth="1"/>
    <col min="1020" max="1020" width="5" style="16" bestFit="1" customWidth="1"/>
    <col min="1021" max="1021" width="81.88671875" style="16" customWidth="1"/>
    <col min="1022" max="1022" width="11.44140625" style="16" customWidth="1"/>
    <col min="1023" max="1023" width="15.88671875" style="16" customWidth="1"/>
    <col min="1024" max="1024" width="17.33203125" style="16" customWidth="1"/>
    <col min="1025" max="1025" width="22.33203125" style="16" customWidth="1"/>
    <col min="1026" max="1193" width="9.109375" style="16"/>
    <col min="1194" max="1194" width="54.44140625" style="16" customWidth="1"/>
    <col min="1195" max="1195" width="14.88671875" style="16" customWidth="1"/>
    <col min="1196" max="1196" width="19" style="16" bestFit="1" customWidth="1"/>
    <col min="1197" max="1198" width="18.33203125" style="16" customWidth="1"/>
    <col min="1199" max="1274" width="9.109375" style="16"/>
    <col min="1275" max="1275" width="3" style="16" customWidth="1"/>
    <col min="1276" max="1276" width="5" style="16" bestFit="1" customWidth="1"/>
    <col min="1277" max="1277" width="81.88671875" style="16" customWidth="1"/>
    <col min="1278" max="1278" width="11.44140625" style="16" customWidth="1"/>
    <col min="1279" max="1279" width="15.88671875" style="16" customWidth="1"/>
    <col min="1280" max="1280" width="17.33203125" style="16" customWidth="1"/>
    <col min="1281" max="1281" width="22.33203125" style="16" customWidth="1"/>
    <col min="1282" max="1449" width="9.109375" style="16"/>
    <col min="1450" max="1450" width="54.44140625" style="16" customWidth="1"/>
    <col min="1451" max="1451" width="14.88671875" style="16" customWidth="1"/>
    <col min="1452" max="1452" width="19" style="16" bestFit="1" customWidth="1"/>
    <col min="1453" max="1454" width="18.33203125" style="16" customWidth="1"/>
    <col min="1455" max="1530" width="9.109375" style="16"/>
    <col min="1531" max="1531" width="3" style="16" customWidth="1"/>
    <col min="1532" max="1532" width="5" style="16" bestFit="1" customWidth="1"/>
    <col min="1533" max="1533" width="81.88671875" style="16" customWidth="1"/>
    <col min="1534" max="1534" width="11.44140625" style="16" customWidth="1"/>
    <col min="1535" max="1535" width="15.88671875" style="16" customWidth="1"/>
    <col min="1536" max="1536" width="17.33203125" style="16" customWidth="1"/>
    <col min="1537" max="1537" width="22.33203125" style="16" customWidth="1"/>
    <col min="1538" max="1705" width="9.109375" style="16"/>
    <col min="1706" max="1706" width="54.44140625" style="16" customWidth="1"/>
    <col min="1707" max="1707" width="14.88671875" style="16" customWidth="1"/>
    <col min="1708" max="1708" width="19" style="16" bestFit="1" customWidth="1"/>
    <col min="1709" max="1710" width="18.33203125" style="16" customWidth="1"/>
    <col min="1711" max="1786" width="9.109375" style="16"/>
    <col min="1787" max="1787" width="3" style="16" customWidth="1"/>
    <col min="1788" max="1788" width="5" style="16" bestFit="1" customWidth="1"/>
    <col min="1789" max="1789" width="81.88671875" style="16" customWidth="1"/>
    <col min="1790" max="1790" width="11.44140625" style="16" customWidth="1"/>
    <col min="1791" max="1791" width="15.88671875" style="16" customWidth="1"/>
    <col min="1792" max="1792" width="17.33203125" style="16" customWidth="1"/>
    <col min="1793" max="1793" width="22.33203125" style="16" customWidth="1"/>
    <col min="1794" max="1961" width="9.109375" style="16"/>
    <col min="1962" max="1962" width="54.44140625" style="16" customWidth="1"/>
    <col min="1963" max="1963" width="14.88671875" style="16" customWidth="1"/>
    <col min="1964" max="1964" width="19" style="16" bestFit="1" customWidth="1"/>
    <col min="1965" max="1966" width="18.33203125" style="16" customWidth="1"/>
    <col min="1967" max="2042" width="9.109375" style="16"/>
    <col min="2043" max="2043" width="3" style="16" customWidth="1"/>
    <col min="2044" max="2044" width="5" style="16" bestFit="1" customWidth="1"/>
    <col min="2045" max="2045" width="81.88671875" style="16" customWidth="1"/>
    <col min="2046" max="2046" width="11.44140625" style="16" customWidth="1"/>
    <col min="2047" max="2047" width="15.88671875" style="16" customWidth="1"/>
    <col min="2048" max="2048" width="17.33203125" style="16" customWidth="1"/>
    <col min="2049" max="2049" width="22.33203125" style="16" customWidth="1"/>
    <col min="2050" max="2217" width="9.109375" style="16"/>
    <col min="2218" max="2218" width="54.44140625" style="16" customWidth="1"/>
    <col min="2219" max="2219" width="14.88671875" style="16" customWidth="1"/>
    <col min="2220" max="2220" width="19" style="16" bestFit="1" customWidth="1"/>
    <col min="2221" max="2222" width="18.33203125" style="16" customWidth="1"/>
    <col min="2223" max="2298" width="9.109375" style="16"/>
    <col min="2299" max="2299" width="3" style="16" customWidth="1"/>
    <col min="2300" max="2300" width="5" style="16" bestFit="1" customWidth="1"/>
    <col min="2301" max="2301" width="81.88671875" style="16" customWidth="1"/>
    <col min="2302" max="2302" width="11.44140625" style="16" customWidth="1"/>
    <col min="2303" max="2303" width="15.88671875" style="16" customWidth="1"/>
    <col min="2304" max="2304" width="17.33203125" style="16" customWidth="1"/>
    <col min="2305" max="2305" width="22.33203125" style="16" customWidth="1"/>
    <col min="2306" max="2473" width="9.109375" style="16"/>
    <col min="2474" max="2474" width="54.44140625" style="16" customWidth="1"/>
    <col min="2475" max="2475" width="14.88671875" style="16" customWidth="1"/>
    <col min="2476" max="2476" width="19" style="16" bestFit="1" customWidth="1"/>
    <col min="2477" max="2478" width="18.33203125" style="16" customWidth="1"/>
    <col min="2479" max="2554" width="9.109375" style="16"/>
    <col min="2555" max="2555" width="3" style="16" customWidth="1"/>
    <col min="2556" max="2556" width="5" style="16" bestFit="1" customWidth="1"/>
    <col min="2557" max="2557" width="81.88671875" style="16" customWidth="1"/>
    <col min="2558" max="2558" width="11.44140625" style="16" customWidth="1"/>
    <col min="2559" max="2559" width="15.88671875" style="16" customWidth="1"/>
    <col min="2560" max="2560" width="17.33203125" style="16" customWidth="1"/>
    <col min="2561" max="2561" width="22.33203125" style="16" customWidth="1"/>
    <col min="2562" max="2729" width="9.109375" style="16"/>
    <col min="2730" max="2730" width="54.44140625" style="16" customWidth="1"/>
    <col min="2731" max="2731" width="14.88671875" style="16" customWidth="1"/>
    <col min="2732" max="2732" width="19" style="16" bestFit="1" customWidth="1"/>
    <col min="2733" max="2734" width="18.33203125" style="16" customWidth="1"/>
    <col min="2735" max="2810" width="9.109375" style="16"/>
    <col min="2811" max="2811" width="3" style="16" customWidth="1"/>
    <col min="2812" max="2812" width="5" style="16" bestFit="1" customWidth="1"/>
    <col min="2813" max="2813" width="81.88671875" style="16" customWidth="1"/>
    <col min="2814" max="2814" width="11.44140625" style="16" customWidth="1"/>
    <col min="2815" max="2815" width="15.88671875" style="16" customWidth="1"/>
    <col min="2816" max="2816" width="17.33203125" style="16" customWidth="1"/>
    <col min="2817" max="2817" width="22.33203125" style="16" customWidth="1"/>
    <col min="2818" max="2985" width="9.109375" style="16"/>
    <col min="2986" max="2986" width="54.44140625" style="16" customWidth="1"/>
    <col min="2987" max="2987" width="14.88671875" style="16" customWidth="1"/>
    <col min="2988" max="2988" width="19" style="16" bestFit="1" customWidth="1"/>
    <col min="2989" max="2990" width="18.33203125" style="16" customWidth="1"/>
    <col min="2991" max="3066" width="9.109375" style="16"/>
    <col min="3067" max="3067" width="3" style="16" customWidth="1"/>
    <col min="3068" max="3068" width="5" style="16" bestFit="1" customWidth="1"/>
    <col min="3069" max="3069" width="81.88671875" style="16" customWidth="1"/>
    <col min="3070" max="3070" width="11.44140625" style="16" customWidth="1"/>
    <col min="3071" max="3071" width="15.88671875" style="16" customWidth="1"/>
    <col min="3072" max="3072" width="17.33203125" style="16" customWidth="1"/>
    <col min="3073" max="3073" width="22.33203125" style="16" customWidth="1"/>
    <col min="3074" max="3241" width="9.109375" style="16"/>
    <col min="3242" max="3242" width="54.44140625" style="16" customWidth="1"/>
    <col min="3243" max="3243" width="14.88671875" style="16" customWidth="1"/>
    <col min="3244" max="3244" width="19" style="16" bestFit="1" customWidth="1"/>
    <col min="3245" max="3246" width="18.33203125" style="16" customWidth="1"/>
    <col min="3247" max="3322" width="9.109375" style="16"/>
    <col min="3323" max="3323" width="3" style="16" customWidth="1"/>
    <col min="3324" max="3324" width="5" style="16" bestFit="1" customWidth="1"/>
    <col min="3325" max="3325" width="81.88671875" style="16" customWidth="1"/>
    <col min="3326" max="3326" width="11.44140625" style="16" customWidth="1"/>
    <col min="3327" max="3327" width="15.88671875" style="16" customWidth="1"/>
    <col min="3328" max="3328" width="17.33203125" style="16" customWidth="1"/>
    <col min="3329" max="3329" width="22.33203125" style="16" customWidth="1"/>
    <col min="3330" max="3497" width="9.109375" style="16"/>
    <col min="3498" max="3498" width="54.44140625" style="16" customWidth="1"/>
    <col min="3499" max="3499" width="14.88671875" style="16" customWidth="1"/>
    <col min="3500" max="3500" width="19" style="16" bestFit="1" customWidth="1"/>
    <col min="3501" max="3502" width="18.33203125" style="16" customWidth="1"/>
    <col min="3503" max="3578" width="9.109375" style="16"/>
    <col min="3579" max="3579" width="3" style="16" customWidth="1"/>
    <col min="3580" max="3580" width="5" style="16" bestFit="1" customWidth="1"/>
    <col min="3581" max="3581" width="81.88671875" style="16" customWidth="1"/>
    <col min="3582" max="3582" width="11.44140625" style="16" customWidth="1"/>
    <col min="3583" max="3583" width="15.88671875" style="16" customWidth="1"/>
    <col min="3584" max="3584" width="17.33203125" style="16" customWidth="1"/>
    <col min="3585" max="3585" width="22.33203125" style="16" customWidth="1"/>
    <col min="3586" max="3753" width="9.109375" style="16"/>
    <col min="3754" max="3754" width="54.44140625" style="16" customWidth="1"/>
    <col min="3755" max="3755" width="14.88671875" style="16" customWidth="1"/>
    <col min="3756" max="3756" width="19" style="16" bestFit="1" customWidth="1"/>
    <col min="3757" max="3758" width="18.33203125" style="16" customWidth="1"/>
    <col min="3759" max="3834" width="9.109375" style="16"/>
    <col min="3835" max="3835" width="3" style="16" customWidth="1"/>
    <col min="3836" max="3836" width="5" style="16" bestFit="1" customWidth="1"/>
    <col min="3837" max="3837" width="81.88671875" style="16" customWidth="1"/>
    <col min="3838" max="3838" width="11.44140625" style="16" customWidth="1"/>
    <col min="3839" max="3839" width="15.88671875" style="16" customWidth="1"/>
    <col min="3840" max="3840" width="17.33203125" style="16" customWidth="1"/>
    <col min="3841" max="3841" width="22.33203125" style="16" customWidth="1"/>
    <col min="3842" max="4009" width="9.109375" style="16"/>
    <col min="4010" max="4010" width="54.44140625" style="16" customWidth="1"/>
    <col min="4011" max="4011" width="14.88671875" style="16" customWidth="1"/>
    <col min="4012" max="4012" width="19" style="16" bestFit="1" customWidth="1"/>
    <col min="4013" max="4014" width="18.33203125" style="16" customWidth="1"/>
    <col min="4015" max="4090" width="9.109375" style="16"/>
    <col min="4091" max="4091" width="3" style="16" customWidth="1"/>
    <col min="4092" max="4092" width="5" style="16" bestFit="1" customWidth="1"/>
    <col min="4093" max="4093" width="81.88671875" style="16" customWidth="1"/>
    <col min="4094" max="4094" width="11.44140625" style="16" customWidth="1"/>
    <col min="4095" max="4095" width="15.88671875" style="16" customWidth="1"/>
    <col min="4096" max="4096" width="17.33203125" style="16" customWidth="1"/>
    <col min="4097" max="4097" width="22.33203125" style="16" customWidth="1"/>
    <col min="4098" max="4265" width="9.109375" style="16"/>
    <col min="4266" max="4266" width="54.44140625" style="16" customWidth="1"/>
    <col min="4267" max="4267" width="14.88671875" style="16" customWidth="1"/>
    <col min="4268" max="4268" width="19" style="16" bestFit="1" customWidth="1"/>
    <col min="4269" max="4270" width="18.33203125" style="16" customWidth="1"/>
    <col min="4271" max="4346" width="9.109375" style="16"/>
    <col min="4347" max="4347" width="3" style="16" customWidth="1"/>
    <col min="4348" max="4348" width="5" style="16" bestFit="1" customWidth="1"/>
    <col min="4349" max="4349" width="81.88671875" style="16" customWidth="1"/>
    <col min="4350" max="4350" width="11.44140625" style="16" customWidth="1"/>
    <col min="4351" max="4351" width="15.88671875" style="16" customWidth="1"/>
    <col min="4352" max="4352" width="17.33203125" style="16" customWidth="1"/>
    <col min="4353" max="4353" width="22.33203125" style="16" customWidth="1"/>
    <col min="4354" max="4521" width="9.109375" style="16"/>
    <col min="4522" max="4522" width="54.44140625" style="16" customWidth="1"/>
    <col min="4523" max="4523" width="14.88671875" style="16" customWidth="1"/>
    <col min="4524" max="4524" width="19" style="16" bestFit="1" customWidth="1"/>
    <col min="4525" max="4526" width="18.33203125" style="16" customWidth="1"/>
    <col min="4527" max="4602" width="9.109375" style="16"/>
    <col min="4603" max="4603" width="3" style="16" customWidth="1"/>
    <col min="4604" max="4604" width="5" style="16" bestFit="1" customWidth="1"/>
    <col min="4605" max="4605" width="81.88671875" style="16" customWidth="1"/>
    <col min="4606" max="4606" width="11.44140625" style="16" customWidth="1"/>
    <col min="4607" max="4607" width="15.88671875" style="16" customWidth="1"/>
    <col min="4608" max="4608" width="17.33203125" style="16" customWidth="1"/>
    <col min="4609" max="4609" width="22.33203125" style="16" customWidth="1"/>
    <col min="4610" max="4777" width="9.109375" style="16"/>
    <col min="4778" max="4778" width="54.44140625" style="16" customWidth="1"/>
    <col min="4779" max="4779" width="14.88671875" style="16" customWidth="1"/>
    <col min="4780" max="4780" width="19" style="16" bestFit="1" customWidth="1"/>
    <col min="4781" max="4782" width="18.33203125" style="16" customWidth="1"/>
    <col min="4783" max="4858" width="9.109375" style="16"/>
    <col min="4859" max="4859" width="3" style="16" customWidth="1"/>
    <col min="4860" max="4860" width="5" style="16" bestFit="1" customWidth="1"/>
    <col min="4861" max="4861" width="81.88671875" style="16" customWidth="1"/>
    <col min="4862" max="4862" width="11.44140625" style="16" customWidth="1"/>
    <col min="4863" max="4863" width="15.88671875" style="16" customWidth="1"/>
    <col min="4864" max="4864" width="17.33203125" style="16" customWidth="1"/>
    <col min="4865" max="4865" width="22.33203125" style="16" customWidth="1"/>
    <col min="4866" max="5033" width="9.109375" style="16"/>
    <col min="5034" max="5034" width="54.44140625" style="16" customWidth="1"/>
    <col min="5035" max="5035" width="14.88671875" style="16" customWidth="1"/>
    <col min="5036" max="5036" width="19" style="16" bestFit="1" customWidth="1"/>
    <col min="5037" max="5038" width="18.33203125" style="16" customWidth="1"/>
    <col min="5039" max="5114" width="9.109375" style="16"/>
    <col min="5115" max="5115" width="3" style="16" customWidth="1"/>
    <col min="5116" max="5116" width="5" style="16" bestFit="1" customWidth="1"/>
    <col min="5117" max="5117" width="81.88671875" style="16" customWidth="1"/>
    <col min="5118" max="5118" width="11.44140625" style="16" customWidth="1"/>
    <col min="5119" max="5119" width="15.88671875" style="16" customWidth="1"/>
    <col min="5120" max="5120" width="17.33203125" style="16" customWidth="1"/>
    <col min="5121" max="5121" width="22.33203125" style="16" customWidth="1"/>
    <col min="5122" max="5289" width="9.109375" style="16"/>
    <col min="5290" max="5290" width="54.44140625" style="16" customWidth="1"/>
    <col min="5291" max="5291" width="14.88671875" style="16" customWidth="1"/>
    <col min="5292" max="5292" width="19" style="16" bestFit="1" customWidth="1"/>
    <col min="5293" max="5294" width="18.33203125" style="16" customWidth="1"/>
    <col min="5295" max="5370" width="9.109375" style="16"/>
    <col min="5371" max="5371" width="3" style="16" customWidth="1"/>
    <col min="5372" max="5372" width="5" style="16" bestFit="1" customWidth="1"/>
    <col min="5373" max="5373" width="81.88671875" style="16" customWidth="1"/>
    <col min="5374" max="5374" width="11.44140625" style="16" customWidth="1"/>
    <col min="5375" max="5375" width="15.88671875" style="16" customWidth="1"/>
    <col min="5376" max="5376" width="17.33203125" style="16" customWidth="1"/>
    <col min="5377" max="5377" width="22.33203125" style="16" customWidth="1"/>
    <col min="5378" max="5545" width="9.109375" style="16"/>
    <col min="5546" max="5546" width="54.44140625" style="16" customWidth="1"/>
    <col min="5547" max="5547" width="14.88671875" style="16" customWidth="1"/>
    <col min="5548" max="5548" width="19" style="16" bestFit="1" customWidth="1"/>
    <col min="5549" max="5550" width="18.33203125" style="16" customWidth="1"/>
    <col min="5551" max="5626" width="9.109375" style="16"/>
    <col min="5627" max="5627" width="3" style="16" customWidth="1"/>
    <col min="5628" max="5628" width="5" style="16" bestFit="1" customWidth="1"/>
    <col min="5629" max="5629" width="81.88671875" style="16" customWidth="1"/>
    <col min="5630" max="5630" width="11.44140625" style="16" customWidth="1"/>
    <col min="5631" max="5631" width="15.88671875" style="16" customWidth="1"/>
    <col min="5632" max="5632" width="17.33203125" style="16" customWidth="1"/>
    <col min="5633" max="5633" width="22.33203125" style="16" customWidth="1"/>
    <col min="5634" max="5801" width="9.109375" style="16"/>
    <col min="5802" max="5802" width="54.44140625" style="16" customWidth="1"/>
    <col min="5803" max="5803" width="14.88671875" style="16" customWidth="1"/>
    <col min="5804" max="5804" width="19" style="16" bestFit="1" customWidth="1"/>
    <col min="5805" max="5806" width="18.33203125" style="16" customWidth="1"/>
    <col min="5807" max="5882" width="9.109375" style="16"/>
    <col min="5883" max="5883" width="3" style="16" customWidth="1"/>
    <col min="5884" max="5884" width="5" style="16" bestFit="1" customWidth="1"/>
    <col min="5885" max="5885" width="81.88671875" style="16" customWidth="1"/>
    <col min="5886" max="5886" width="11.44140625" style="16" customWidth="1"/>
    <col min="5887" max="5887" width="15.88671875" style="16" customWidth="1"/>
    <col min="5888" max="5888" width="17.33203125" style="16" customWidth="1"/>
    <col min="5889" max="5889" width="22.33203125" style="16" customWidth="1"/>
    <col min="5890" max="6057" width="9.109375" style="16"/>
    <col min="6058" max="6058" width="54.44140625" style="16" customWidth="1"/>
    <col min="6059" max="6059" width="14.88671875" style="16" customWidth="1"/>
    <col min="6060" max="6060" width="19" style="16" bestFit="1" customWidth="1"/>
    <col min="6061" max="6062" width="18.33203125" style="16" customWidth="1"/>
    <col min="6063" max="6138" width="9.109375" style="16"/>
    <col min="6139" max="6139" width="3" style="16" customWidth="1"/>
    <col min="6140" max="6140" width="5" style="16" bestFit="1" customWidth="1"/>
    <col min="6141" max="6141" width="81.88671875" style="16" customWidth="1"/>
    <col min="6142" max="6142" width="11.44140625" style="16" customWidth="1"/>
    <col min="6143" max="6143" width="15.88671875" style="16" customWidth="1"/>
    <col min="6144" max="6144" width="17.33203125" style="16" customWidth="1"/>
    <col min="6145" max="6145" width="22.33203125" style="16" customWidth="1"/>
    <col min="6146" max="6313" width="9.109375" style="16"/>
    <col min="6314" max="6314" width="54.44140625" style="16" customWidth="1"/>
    <col min="6315" max="6315" width="14.88671875" style="16" customWidth="1"/>
    <col min="6316" max="6316" width="19" style="16" bestFit="1" customWidth="1"/>
    <col min="6317" max="6318" width="18.33203125" style="16" customWidth="1"/>
    <col min="6319" max="6394" width="9.109375" style="16"/>
    <col min="6395" max="6395" width="3" style="16" customWidth="1"/>
    <col min="6396" max="6396" width="5" style="16" bestFit="1" customWidth="1"/>
    <col min="6397" max="6397" width="81.88671875" style="16" customWidth="1"/>
    <col min="6398" max="6398" width="11.44140625" style="16" customWidth="1"/>
    <col min="6399" max="6399" width="15.88671875" style="16" customWidth="1"/>
    <col min="6400" max="6400" width="17.33203125" style="16" customWidth="1"/>
    <col min="6401" max="6401" width="22.33203125" style="16" customWidth="1"/>
    <col min="6402" max="6569" width="9.109375" style="16"/>
    <col min="6570" max="6570" width="54.44140625" style="16" customWidth="1"/>
    <col min="6571" max="6571" width="14.88671875" style="16" customWidth="1"/>
    <col min="6572" max="6572" width="19" style="16" bestFit="1" customWidth="1"/>
    <col min="6573" max="6574" width="18.33203125" style="16" customWidth="1"/>
    <col min="6575" max="6650" width="9.109375" style="16"/>
    <col min="6651" max="6651" width="3" style="16" customWidth="1"/>
    <col min="6652" max="6652" width="5" style="16" bestFit="1" customWidth="1"/>
    <col min="6653" max="6653" width="81.88671875" style="16" customWidth="1"/>
    <col min="6654" max="6654" width="11.44140625" style="16" customWidth="1"/>
    <col min="6655" max="6655" width="15.88671875" style="16" customWidth="1"/>
    <col min="6656" max="6656" width="17.33203125" style="16" customWidth="1"/>
    <col min="6657" max="6657" width="22.33203125" style="16" customWidth="1"/>
    <col min="6658" max="6825" width="9.109375" style="16"/>
    <col min="6826" max="6826" width="54.44140625" style="16" customWidth="1"/>
    <col min="6827" max="6827" width="14.88671875" style="16" customWidth="1"/>
    <col min="6828" max="6828" width="19" style="16" bestFit="1" customWidth="1"/>
    <col min="6829" max="6830" width="18.33203125" style="16" customWidth="1"/>
    <col min="6831" max="6906" width="9.109375" style="16"/>
    <col min="6907" max="6907" width="3" style="16" customWidth="1"/>
    <col min="6908" max="6908" width="5" style="16" bestFit="1" customWidth="1"/>
    <col min="6909" max="6909" width="81.88671875" style="16" customWidth="1"/>
    <col min="6910" max="6910" width="11.44140625" style="16" customWidth="1"/>
    <col min="6911" max="6911" width="15.88671875" style="16" customWidth="1"/>
    <col min="6912" max="6912" width="17.33203125" style="16" customWidth="1"/>
    <col min="6913" max="6913" width="22.33203125" style="16" customWidth="1"/>
    <col min="6914" max="7081" width="9.109375" style="16"/>
    <col min="7082" max="7082" width="54.44140625" style="16" customWidth="1"/>
    <col min="7083" max="7083" width="14.88671875" style="16" customWidth="1"/>
    <col min="7084" max="7084" width="19" style="16" bestFit="1" customWidth="1"/>
    <col min="7085" max="7086" width="18.33203125" style="16" customWidth="1"/>
    <col min="7087" max="7162" width="9.109375" style="16"/>
    <col min="7163" max="7163" width="3" style="16" customWidth="1"/>
    <col min="7164" max="7164" width="5" style="16" bestFit="1" customWidth="1"/>
    <col min="7165" max="7165" width="81.88671875" style="16" customWidth="1"/>
    <col min="7166" max="7166" width="11.44140625" style="16" customWidth="1"/>
    <col min="7167" max="7167" width="15.88671875" style="16" customWidth="1"/>
    <col min="7168" max="7168" width="17.33203125" style="16" customWidth="1"/>
    <col min="7169" max="7169" width="22.33203125" style="16" customWidth="1"/>
    <col min="7170" max="7337" width="9.109375" style="16"/>
    <col min="7338" max="7338" width="54.44140625" style="16" customWidth="1"/>
    <col min="7339" max="7339" width="14.88671875" style="16" customWidth="1"/>
    <col min="7340" max="7340" width="19" style="16" bestFit="1" customWidth="1"/>
    <col min="7341" max="7342" width="18.33203125" style="16" customWidth="1"/>
    <col min="7343" max="7418" width="9.109375" style="16"/>
    <col min="7419" max="7419" width="3" style="16" customWidth="1"/>
    <col min="7420" max="7420" width="5" style="16" bestFit="1" customWidth="1"/>
    <col min="7421" max="7421" width="81.88671875" style="16" customWidth="1"/>
    <col min="7422" max="7422" width="11.44140625" style="16" customWidth="1"/>
    <col min="7423" max="7423" width="15.88671875" style="16" customWidth="1"/>
    <col min="7424" max="7424" width="17.33203125" style="16" customWidth="1"/>
    <col min="7425" max="7425" width="22.33203125" style="16" customWidth="1"/>
    <col min="7426" max="7593" width="9.109375" style="16"/>
    <col min="7594" max="7594" width="54.44140625" style="16" customWidth="1"/>
    <col min="7595" max="7595" width="14.88671875" style="16" customWidth="1"/>
    <col min="7596" max="7596" width="19" style="16" bestFit="1" customWidth="1"/>
    <col min="7597" max="7598" width="18.33203125" style="16" customWidth="1"/>
    <col min="7599" max="7674" width="9.109375" style="16"/>
    <col min="7675" max="7675" width="3" style="16" customWidth="1"/>
    <col min="7676" max="7676" width="5" style="16" bestFit="1" customWidth="1"/>
    <col min="7677" max="7677" width="81.88671875" style="16" customWidth="1"/>
    <col min="7678" max="7678" width="11.44140625" style="16" customWidth="1"/>
    <col min="7679" max="7679" width="15.88671875" style="16" customWidth="1"/>
    <col min="7680" max="7680" width="17.33203125" style="16" customWidth="1"/>
    <col min="7681" max="7681" width="22.33203125" style="16" customWidth="1"/>
    <col min="7682" max="7849" width="9.109375" style="16"/>
    <col min="7850" max="7850" width="54.44140625" style="16" customWidth="1"/>
    <col min="7851" max="7851" width="14.88671875" style="16" customWidth="1"/>
    <col min="7852" max="7852" width="19" style="16" bestFit="1" customWidth="1"/>
    <col min="7853" max="7854" width="18.33203125" style="16" customWidth="1"/>
    <col min="7855" max="7930" width="9.109375" style="16"/>
    <col min="7931" max="7931" width="3" style="16" customWidth="1"/>
    <col min="7932" max="7932" width="5" style="16" bestFit="1" customWidth="1"/>
    <col min="7933" max="7933" width="81.88671875" style="16" customWidth="1"/>
    <col min="7934" max="7934" width="11.44140625" style="16" customWidth="1"/>
    <col min="7935" max="7935" width="15.88671875" style="16" customWidth="1"/>
    <col min="7936" max="7936" width="17.33203125" style="16" customWidth="1"/>
    <col min="7937" max="7937" width="22.33203125" style="16" customWidth="1"/>
    <col min="7938" max="8105" width="9.109375" style="16"/>
    <col min="8106" max="8106" width="54.44140625" style="16" customWidth="1"/>
    <col min="8107" max="8107" width="14.88671875" style="16" customWidth="1"/>
    <col min="8108" max="8108" width="19" style="16" bestFit="1" customWidth="1"/>
    <col min="8109" max="8110" width="18.33203125" style="16" customWidth="1"/>
    <col min="8111" max="8186" width="9.109375" style="16"/>
    <col min="8187" max="8187" width="3" style="16" customWidth="1"/>
    <col min="8188" max="8188" width="5" style="16" bestFit="1" customWidth="1"/>
    <col min="8189" max="8189" width="81.88671875" style="16" customWidth="1"/>
    <col min="8190" max="8190" width="11.44140625" style="16" customWidth="1"/>
    <col min="8191" max="8191" width="15.88671875" style="16" customWidth="1"/>
    <col min="8192" max="8192" width="17.33203125" style="16" customWidth="1"/>
    <col min="8193" max="8193" width="22.33203125" style="16" customWidth="1"/>
    <col min="8194" max="8361" width="9.109375" style="16"/>
    <col min="8362" max="8362" width="54.44140625" style="16" customWidth="1"/>
    <col min="8363" max="8363" width="14.88671875" style="16" customWidth="1"/>
    <col min="8364" max="8364" width="19" style="16" bestFit="1" customWidth="1"/>
    <col min="8365" max="8366" width="18.33203125" style="16" customWidth="1"/>
    <col min="8367" max="8442" width="9.109375" style="16"/>
    <col min="8443" max="8443" width="3" style="16" customWidth="1"/>
    <col min="8444" max="8444" width="5" style="16" bestFit="1" customWidth="1"/>
    <col min="8445" max="8445" width="81.88671875" style="16" customWidth="1"/>
    <col min="8446" max="8446" width="11.44140625" style="16" customWidth="1"/>
    <col min="8447" max="8447" width="15.88671875" style="16" customWidth="1"/>
    <col min="8448" max="8448" width="17.33203125" style="16" customWidth="1"/>
    <col min="8449" max="8449" width="22.33203125" style="16" customWidth="1"/>
    <col min="8450" max="8617" width="9.109375" style="16"/>
    <col min="8618" max="8618" width="54.44140625" style="16" customWidth="1"/>
    <col min="8619" max="8619" width="14.88671875" style="16" customWidth="1"/>
    <col min="8620" max="8620" width="19" style="16" bestFit="1" customWidth="1"/>
    <col min="8621" max="8622" width="18.33203125" style="16" customWidth="1"/>
    <col min="8623" max="8698" width="9.109375" style="16"/>
    <col min="8699" max="8699" width="3" style="16" customWidth="1"/>
    <col min="8700" max="8700" width="5" style="16" bestFit="1" customWidth="1"/>
    <col min="8701" max="8701" width="81.88671875" style="16" customWidth="1"/>
    <col min="8702" max="8702" width="11.44140625" style="16" customWidth="1"/>
    <col min="8703" max="8703" width="15.88671875" style="16" customWidth="1"/>
    <col min="8704" max="8704" width="17.33203125" style="16" customWidth="1"/>
    <col min="8705" max="8705" width="22.33203125" style="16" customWidth="1"/>
    <col min="8706" max="8873" width="9.109375" style="16"/>
    <col min="8874" max="8874" width="54.44140625" style="16" customWidth="1"/>
    <col min="8875" max="8875" width="14.88671875" style="16" customWidth="1"/>
    <col min="8876" max="8876" width="19" style="16" bestFit="1" customWidth="1"/>
    <col min="8877" max="8878" width="18.33203125" style="16" customWidth="1"/>
    <col min="8879" max="8954" width="9.109375" style="16"/>
    <col min="8955" max="8955" width="3" style="16" customWidth="1"/>
    <col min="8956" max="8956" width="5" style="16" bestFit="1" customWidth="1"/>
    <col min="8957" max="8957" width="81.88671875" style="16" customWidth="1"/>
    <col min="8958" max="8958" width="11.44140625" style="16" customWidth="1"/>
    <col min="8959" max="8959" width="15.88671875" style="16" customWidth="1"/>
    <col min="8960" max="8960" width="17.33203125" style="16" customWidth="1"/>
    <col min="8961" max="8961" width="22.33203125" style="16" customWidth="1"/>
    <col min="8962" max="9129" width="9.109375" style="16"/>
    <col min="9130" max="9130" width="54.44140625" style="16" customWidth="1"/>
    <col min="9131" max="9131" width="14.88671875" style="16" customWidth="1"/>
    <col min="9132" max="9132" width="19" style="16" bestFit="1" customWidth="1"/>
    <col min="9133" max="9134" width="18.33203125" style="16" customWidth="1"/>
    <col min="9135" max="9210" width="9.109375" style="16"/>
    <col min="9211" max="9211" width="3" style="16" customWidth="1"/>
    <col min="9212" max="9212" width="5" style="16" bestFit="1" customWidth="1"/>
    <col min="9213" max="9213" width="81.88671875" style="16" customWidth="1"/>
    <col min="9214" max="9214" width="11.44140625" style="16" customWidth="1"/>
    <col min="9215" max="9215" width="15.88671875" style="16" customWidth="1"/>
    <col min="9216" max="9216" width="17.33203125" style="16" customWidth="1"/>
    <col min="9217" max="9217" width="22.33203125" style="16" customWidth="1"/>
    <col min="9218" max="9385" width="9.109375" style="16"/>
    <col min="9386" max="9386" width="54.44140625" style="16" customWidth="1"/>
    <col min="9387" max="9387" width="14.88671875" style="16" customWidth="1"/>
    <col min="9388" max="9388" width="19" style="16" bestFit="1" customWidth="1"/>
    <col min="9389" max="9390" width="18.33203125" style="16" customWidth="1"/>
    <col min="9391" max="9466" width="9.109375" style="16"/>
    <col min="9467" max="9467" width="3" style="16" customWidth="1"/>
    <col min="9468" max="9468" width="5" style="16" bestFit="1" customWidth="1"/>
    <col min="9469" max="9469" width="81.88671875" style="16" customWidth="1"/>
    <col min="9470" max="9470" width="11.44140625" style="16" customWidth="1"/>
    <col min="9471" max="9471" width="15.88671875" style="16" customWidth="1"/>
    <col min="9472" max="9472" width="17.33203125" style="16" customWidth="1"/>
    <col min="9473" max="9473" width="22.33203125" style="16" customWidth="1"/>
    <col min="9474" max="9641" width="9.109375" style="16"/>
    <col min="9642" max="9642" width="54.44140625" style="16" customWidth="1"/>
    <col min="9643" max="9643" width="14.88671875" style="16" customWidth="1"/>
    <col min="9644" max="9644" width="19" style="16" bestFit="1" customWidth="1"/>
    <col min="9645" max="9646" width="18.33203125" style="16" customWidth="1"/>
    <col min="9647" max="9722" width="9.109375" style="16"/>
    <col min="9723" max="9723" width="3" style="16" customWidth="1"/>
    <col min="9724" max="9724" width="5" style="16" bestFit="1" customWidth="1"/>
    <col min="9725" max="9725" width="81.88671875" style="16" customWidth="1"/>
    <col min="9726" max="9726" width="11.44140625" style="16" customWidth="1"/>
    <col min="9727" max="9727" width="15.88671875" style="16" customWidth="1"/>
    <col min="9728" max="9728" width="17.33203125" style="16" customWidth="1"/>
    <col min="9729" max="9729" width="22.33203125" style="16" customWidth="1"/>
    <col min="9730" max="9897" width="9.109375" style="16"/>
    <col min="9898" max="9898" width="54.44140625" style="16" customWidth="1"/>
    <col min="9899" max="9899" width="14.88671875" style="16" customWidth="1"/>
    <col min="9900" max="9900" width="19" style="16" bestFit="1" customWidth="1"/>
    <col min="9901" max="9902" width="18.33203125" style="16" customWidth="1"/>
    <col min="9903" max="9978" width="9.109375" style="16"/>
    <col min="9979" max="9979" width="3" style="16" customWidth="1"/>
    <col min="9980" max="9980" width="5" style="16" bestFit="1" customWidth="1"/>
    <col min="9981" max="9981" width="81.88671875" style="16" customWidth="1"/>
    <col min="9982" max="9982" width="11.44140625" style="16" customWidth="1"/>
    <col min="9983" max="9983" width="15.88671875" style="16" customWidth="1"/>
    <col min="9984" max="9984" width="17.33203125" style="16" customWidth="1"/>
    <col min="9985" max="9985" width="22.33203125" style="16" customWidth="1"/>
    <col min="9986" max="10153" width="9.109375" style="16"/>
    <col min="10154" max="10154" width="54.44140625" style="16" customWidth="1"/>
    <col min="10155" max="10155" width="14.88671875" style="16" customWidth="1"/>
    <col min="10156" max="10156" width="19" style="16" bestFit="1" customWidth="1"/>
    <col min="10157" max="10158" width="18.33203125" style="16" customWidth="1"/>
    <col min="10159" max="10234" width="9.109375" style="16"/>
    <col min="10235" max="10235" width="3" style="16" customWidth="1"/>
    <col min="10236" max="10236" width="5" style="16" bestFit="1" customWidth="1"/>
    <col min="10237" max="10237" width="81.88671875" style="16" customWidth="1"/>
    <col min="10238" max="10238" width="11.44140625" style="16" customWidth="1"/>
    <col min="10239" max="10239" width="15.88671875" style="16" customWidth="1"/>
    <col min="10240" max="10240" width="17.33203125" style="16" customWidth="1"/>
    <col min="10241" max="10241" width="22.33203125" style="16" customWidth="1"/>
    <col min="10242" max="10409" width="9.109375" style="16"/>
    <col min="10410" max="10410" width="54.44140625" style="16" customWidth="1"/>
    <col min="10411" max="10411" width="14.88671875" style="16" customWidth="1"/>
    <col min="10412" max="10412" width="19" style="16" bestFit="1" customWidth="1"/>
    <col min="10413" max="10414" width="18.33203125" style="16" customWidth="1"/>
    <col min="10415" max="10490" width="9.109375" style="16"/>
    <col min="10491" max="10491" width="3" style="16" customWidth="1"/>
    <col min="10492" max="10492" width="5" style="16" bestFit="1" customWidth="1"/>
    <col min="10493" max="10493" width="81.88671875" style="16" customWidth="1"/>
    <col min="10494" max="10494" width="11.44140625" style="16" customWidth="1"/>
    <col min="10495" max="10495" width="15.88671875" style="16" customWidth="1"/>
    <col min="10496" max="10496" width="17.33203125" style="16" customWidth="1"/>
    <col min="10497" max="10497" width="22.33203125" style="16" customWidth="1"/>
    <col min="10498" max="10665" width="9.109375" style="16"/>
    <col min="10666" max="10666" width="54.44140625" style="16" customWidth="1"/>
    <col min="10667" max="10667" width="14.88671875" style="16" customWidth="1"/>
    <col min="10668" max="10668" width="19" style="16" bestFit="1" customWidth="1"/>
    <col min="10669" max="10670" width="18.33203125" style="16" customWidth="1"/>
    <col min="10671" max="10746" width="9.109375" style="16"/>
    <col min="10747" max="10747" width="3" style="16" customWidth="1"/>
    <col min="10748" max="10748" width="5" style="16" bestFit="1" customWidth="1"/>
    <col min="10749" max="10749" width="81.88671875" style="16" customWidth="1"/>
    <col min="10750" max="10750" width="11.44140625" style="16" customWidth="1"/>
    <col min="10751" max="10751" width="15.88671875" style="16" customWidth="1"/>
    <col min="10752" max="10752" width="17.33203125" style="16" customWidth="1"/>
    <col min="10753" max="10753" width="22.33203125" style="16" customWidth="1"/>
    <col min="10754" max="10921" width="9.109375" style="16"/>
    <col min="10922" max="10922" width="54.44140625" style="16" customWidth="1"/>
    <col min="10923" max="10923" width="14.88671875" style="16" customWidth="1"/>
    <col min="10924" max="10924" width="19" style="16" bestFit="1" customWidth="1"/>
    <col min="10925" max="10926" width="18.33203125" style="16" customWidth="1"/>
    <col min="10927" max="11002" width="9.109375" style="16"/>
    <col min="11003" max="11003" width="3" style="16" customWidth="1"/>
    <col min="11004" max="11004" width="5" style="16" bestFit="1" customWidth="1"/>
    <col min="11005" max="11005" width="81.88671875" style="16" customWidth="1"/>
    <col min="11006" max="11006" width="11.44140625" style="16" customWidth="1"/>
    <col min="11007" max="11007" width="15.88671875" style="16" customWidth="1"/>
    <col min="11008" max="11008" width="17.33203125" style="16" customWidth="1"/>
    <col min="11009" max="11009" width="22.33203125" style="16" customWidth="1"/>
    <col min="11010" max="11177" width="9.109375" style="16"/>
    <col min="11178" max="11178" width="54.44140625" style="16" customWidth="1"/>
    <col min="11179" max="11179" width="14.88671875" style="16" customWidth="1"/>
    <col min="11180" max="11180" width="19" style="16" bestFit="1" customWidth="1"/>
    <col min="11181" max="11182" width="18.33203125" style="16" customWidth="1"/>
    <col min="11183" max="11258" width="9.109375" style="16"/>
    <col min="11259" max="11259" width="3" style="16" customWidth="1"/>
    <col min="11260" max="11260" width="5" style="16" bestFit="1" customWidth="1"/>
    <col min="11261" max="11261" width="81.88671875" style="16" customWidth="1"/>
    <col min="11262" max="11262" width="11.44140625" style="16" customWidth="1"/>
    <col min="11263" max="11263" width="15.88671875" style="16" customWidth="1"/>
    <col min="11264" max="11264" width="17.33203125" style="16" customWidth="1"/>
    <col min="11265" max="11265" width="22.33203125" style="16" customWidth="1"/>
    <col min="11266" max="11433" width="9.109375" style="16"/>
    <col min="11434" max="11434" width="54.44140625" style="16" customWidth="1"/>
    <col min="11435" max="11435" width="14.88671875" style="16" customWidth="1"/>
    <col min="11436" max="11436" width="19" style="16" bestFit="1" customWidth="1"/>
    <col min="11437" max="11438" width="18.33203125" style="16" customWidth="1"/>
    <col min="11439" max="11514" width="9.109375" style="16"/>
    <col min="11515" max="11515" width="3" style="16" customWidth="1"/>
    <col min="11516" max="11516" width="5" style="16" bestFit="1" customWidth="1"/>
    <col min="11517" max="11517" width="81.88671875" style="16" customWidth="1"/>
    <col min="11518" max="11518" width="11.44140625" style="16" customWidth="1"/>
    <col min="11519" max="11519" width="15.88671875" style="16" customWidth="1"/>
    <col min="11520" max="11520" width="17.33203125" style="16" customWidth="1"/>
    <col min="11521" max="11521" width="22.33203125" style="16" customWidth="1"/>
    <col min="11522" max="11689" width="9.109375" style="16"/>
    <col min="11690" max="11690" width="54.44140625" style="16" customWidth="1"/>
    <col min="11691" max="11691" width="14.88671875" style="16" customWidth="1"/>
    <col min="11692" max="11692" width="19" style="16" bestFit="1" customWidth="1"/>
    <col min="11693" max="11694" width="18.33203125" style="16" customWidth="1"/>
    <col min="11695" max="11770" width="9.109375" style="16"/>
    <col min="11771" max="11771" width="3" style="16" customWidth="1"/>
    <col min="11772" max="11772" width="5" style="16" bestFit="1" customWidth="1"/>
    <col min="11773" max="11773" width="81.88671875" style="16" customWidth="1"/>
    <col min="11774" max="11774" width="11.44140625" style="16" customWidth="1"/>
    <col min="11775" max="11775" width="15.88671875" style="16" customWidth="1"/>
    <col min="11776" max="11776" width="17.33203125" style="16" customWidth="1"/>
    <col min="11777" max="11777" width="22.33203125" style="16" customWidth="1"/>
    <col min="11778" max="11945" width="9.109375" style="16"/>
    <col min="11946" max="11946" width="54.44140625" style="16" customWidth="1"/>
    <col min="11947" max="11947" width="14.88671875" style="16" customWidth="1"/>
    <col min="11948" max="11948" width="19" style="16" bestFit="1" customWidth="1"/>
    <col min="11949" max="11950" width="18.33203125" style="16" customWidth="1"/>
    <col min="11951" max="12026" width="9.109375" style="16"/>
    <col min="12027" max="12027" width="3" style="16" customWidth="1"/>
    <col min="12028" max="12028" width="5" style="16" bestFit="1" customWidth="1"/>
    <col min="12029" max="12029" width="81.88671875" style="16" customWidth="1"/>
    <col min="12030" max="12030" width="11.44140625" style="16" customWidth="1"/>
    <col min="12031" max="12031" width="15.88671875" style="16" customWidth="1"/>
    <col min="12032" max="12032" width="17.33203125" style="16" customWidth="1"/>
    <col min="12033" max="12033" width="22.33203125" style="16" customWidth="1"/>
    <col min="12034" max="12201" width="9.109375" style="16"/>
    <col min="12202" max="12202" width="54.44140625" style="16" customWidth="1"/>
    <col min="12203" max="12203" width="14.88671875" style="16" customWidth="1"/>
    <col min="12204" max="12204" width="19" style="16" bestFit="1" customWidth="1"/>
    <col min="12205" max="12206" width="18.33203125" style="16" customWidth="1"/>
    <col min="12207" max="12282" width="9.109375" style="16"/>
    <col min="12283" max="12283" width="3" style="16" customWidth="1"/>
    <col min="12284" max="12284" width="5" style="16" bestFit="1" customWidth="1"/>
    <col min="12285" max="12285" width="81.88671875" style="16" customWidth="1"/>
    <col min="12286" max="12286" width="11.44140625" style="16" customWidth="1"/>
    <col min="12287" max="12287" width="15.88671875" style="16" customWidth="1"/>
    <col min="12288" max="12288" width="17.33203125" style="16" customWidth="1"/>
    <col min="12289" max="12289" width="22.33203125" style="16" customWidth="1"/>
    <col min="12290" max="12457" width="9.109375" style="16"/>
    <col min="12458" max="12458" width="54.44140625" style="16" customWidth="1"/>
    <col min="12459" max="12459" width="14.88671875" style="16" customWidth="1"/>
    <col min="12460" max="12460" width="19" style="16" bestFit="1" customWidth="1"/>
    <col min="12461" max="12462" width="18.33203125" style="16" customWidth="1"/>
    <col min="12463" max="12538" width="9.109375" style="16"/>
    <col min="12539" max="12539" width="3" style="16" customWidth="1"/>
    <col min="12540" max="12540" width="5" style="16" bestFit="1" customWidth="1"/>
    <col min="12541" max="12541" width="81.88671875" style="16" customWidth="1"/>
    <col min="12542" max="12542" width="11.44140625" style="16" customWidth="1"/>
    <col min="12543" max="12543" width="15.88671875" style="16" customWidth="1"/>
    <col min="12544" max="12544" width="17.33203125" style="16" customWidth="1"/>
    <col min="12545" max="12545" width="22.33203125" style="16" customWidth="1"/>
    <col min="12546" max="12713" width="9.109375" style="16"/>
    <col min="12714" max="12714" width="54.44140625" style="16" customWidth="1"/>
    <col min="12715" max="12715" width="14.88671875" style="16" customWidth="1"/>
    <col min="12716" max="12716" width="19" style="16" bestFit="1" customWidth="1"/>
    <col min="12717" max="12718" width="18.33203125" style="16" customWidth="1"/>
    <col min="12719" max="12794" width="9.109375" style="16"/>
    <col min="12795" max="12795" width="3" style="16" customWidth="1"/>
    <col min="12796" max="12796" width="5" style="16" bestFit="1" customWidth="1"/>
    <col min="12797" max="12797" width="81.88671875" style="16" customWidth="1"/>
    <col min="12798" max="12798" width="11.44140625" style="16" customWidth="1"/>
    <col min="12799" max="12799" width="15.88671875" style="16" customWidth="1"/>
    <col min="12800" max="12800" width="17.33203125" style="16" customWidth="1"/>
    <col min="12801" max="12801" width="22.33203125" style="16" customWidth="1"/>
    <col min="12802" max="12969" width="9.109375" style="16"/>
    <col min="12970" max="12970" width="54.44140625" style="16" customWidth="1"/>
    <col min="12971" max="12971" width="14.88671875" style="16" customWidth="1"/>
    <col min="12972" max="12972" width="19" style="16" bestFit="1" customWidth="1"/>
    <col min="12973" max="12974" width="18.33203125" style="16" customWidth="1"/>
    <col min="12975" max="13050" width="9.109375" style="16"/>
    <col min="13051" max="13051" width="3" style="16" customWidth="1"/>
    <col min="13052" max="13052" width="5" style="16" bestFit="1" customWidth="1"/>
    <col min="13053" max="13053" width="81.88671875" style="16" customWidth="1"/>
    <col min="13054" max="13054" width="11.44140625" style="16" customWidth="1"/>
    <col min="13055" max="13055" width="15.88671875" style="16" customWidth="1"/>
    <col min="13056" max="13056" width="17.33203125" style="16" customWidth="1"/>
    <col min="13057" max="13057" width="22.33203125" style="16" customWidth="1"/>
    <col min="13058" max="13225" width="9.109375" style="16"/>
    <col min="13226" max="13226" width="54.44140625" style="16" customWidth="1"/>
    <col min="13227" max="13227" width="14.88671875" style="16" customWidth="1"/>
    <col min="13228" max="13228" width="19" style="16" bestFit="1" customWidth="1"/>
    <col min="13229" max="13230" width="18.33203125" style="16" customWidth="1"/>
    <col min="13231" max="13306" width="9.109375" style="16"/>
    <col min="13307" max="13307" width="3" style="16" customWidth="1"/>
    <col min="13308" max="13308" width="5" style="16" bestFit="1" customWidth="1"/>
    <col min="13309" max="13309" width="81.88671875" style="16" customWidth="1"/>
    <col min="13310" max="13310" width="11.44140625" style="16" customWidth="1"/>
    <col min="13311" max="13311" width="15.88671875" style="16" customWidth="1"/>
    <col min="13312" max="13312" width="17.33203125" style="16" customWidth="1"/>
    <col min="13313" max="13313" width="22.33203125" style="16" customWidth="1"/>
    <col min="13314" max="13481" width="9.109375" style="16"/>
    <col min="13482" max="13482" width="54.44140625" style="16" customWidth="1"/>
    <col min="13483" max="13483" width="14.88671875" style="16" customWidth="1"/>
    <col min="13484" max="13484" width="19" style="16" bestFit="1" customWidth="1"/>
    <col min="13485" max="13486" width="18.33203125" style="16" customWidth="1"/>
    <col min="13487" max="13562" width="9.109375" style="16"/>
    <col min="13563" max="13563" width="3" style="16" customWidth="1"/>
    <col min="13564" max="13564" width="5" style="16" bestFit="1" customWidth="1"/>
    <col min="13565" max="13565" width="81.88671875" style="16" customWidth="1"/>
    <col min="13566" max="13566" width="11.44140625" style="16" customWidth="1"/>
    <col min="13567" max="13567" width="15.88671875" style="16" customWidth="1"/>
    <col min="13568" max="13568" width="17.33203125" style="16" customWidth="1"/>
    <col min="13569" max="13569" width="22.33203125" style="16" customWidth="1"/>
    <col min="13570" max="13737" width="9.109375" style="16"/>
    <col min="13738" max="13738" width="54.44140625" style="16" customWidth="1"/>
    <col min="13739" max="13739" width="14.88671875" style="16" customWidth="1"/>
    <col min="13740" max="13740" width="19" style="16" bestFit="1" customWidth="1"/>
    <col min="13741" max="13742" width="18.33203125" style="16" customWidth="1"/>
    <col min="13743" max="13818" width="9.109375" style="16"/>
    <col min="13819" max="13819" width="3" style="16" customWidth="1"/>
    <col min="13820" max="13820" width="5" style="16" bestFit="1" customWidth="1"/>
    <col min="13821" max="13821" width="81.88671875" style="16" customWidth="1"/>
    <col min="13822" max="13822" width="11.44140625" style="16" customWidth="1"/>
    <col min="13823" max="13823" width="15.88671875" style="16" customWidth="1"/>
    <col min="13824" max="13824" width="17.33203125" style="16" customWidth="1"/>
    <col min="13825" max="13825" width="22.33203125" style="16" customWidth="1"/>
    <col min="13826" max="13993" width="9.109375" style="16"/>
    <col min="13994" max="13994" width="54.44140625" style="16" customWidth="1"/>
    <col min="13995" max="13995" width="14.88671875" style="16" customWidth="1"/>
    <col min="13996" max="13996" width="19" style="16" bestFit="1" customWidth="1"/>
    <col min="13997" max="13998" width="18.33203125" style="16" customWidth="1"/>
    <col min="13999" max="14074" width="9.109375" style="16"/>
    <col min="14075" max="14075" width="3" style="16" customWidth="1"/>
    <col min="14076" max="14076" width="5" style="16" bestFit="1" customWidth="1"/>
    <col min="14077" max="14077" width="81.88671875" style="16" customWidth="1"/>
    <col min="14078" max="14078" width="11.44140625" style="16" customWidth="1"/>
    <col min="14079" max="14079" width="15.88671875" style="16" customWidth="1"/>
    <col min="14080" max="14080" width="17.33203125" style="16" customWidth="1"/>
    <col min="14081" max="14081" width="22.33203125" style="16" customWidth="1"/>
    <col min="14082" max="14249" width="9.109375" style="16"/>
    <col min="14250" max="14250" width="54.44140625" style="16" customWidth="1"/>
    <col min="14251" max="14251" width="14.88671875" style="16" customWidth="1"/>
    <col min="14252" max="14252" width="19" style="16" bestFit="1" customWidth="1"/>
    <col min="14253" max="14254" width="18.33203125" style="16" customWidth="1"/>
    <col min="14255" max="14330" width="9.109375" style="16"/>
    <col min="14331" max="14331" width="3" style="16" customWidth="1"/>
    <col min="14332" max="14332" width="5" style="16" bestFit="1" customWidth="1"/>
    <col min="14333" max="14333" width="81.88671875" style="16" customWidth="1"/>
    <col min="14334" max="14334" width="11.44140625" style="16" customWidth="1"/>
    <col min="14335" max="14335" width="15.88671875" style="16" customWidth="1"/>
    <col min="14336" max="14336" width="17.33203125" style="16" customWidth="1"/>
    <col min="14337" max="14337" width="22.33203125" style="16" customWidth="1"/>
    <col min="14338" max="14505" width="9.109375" style="16"/>
    <col min="14506" max="14506" width="54.44140625" style="16" customWidth="1"/>
    <col min="14507" max="14507" width="14.88671875" style="16" customWidth="1"/>
    <col min="14508" max="14508" width="19" style="16" bestFit="1" customWidth="1"/>
    <col min="14509" max="14510" width="18.33203125" style="16" customWidth="1"/>
    <col min="14511" max="14586" width="9.109375" style="16"/>
    <col min="14587" max="14587" width="3" style="16" customWidth="1"/>
    <col min="14588" max="14588" width="5" style="16" bestFit="1" customWidth="1"/>
    <col min="14589" max="14589" width="81.88671875" style="16" customWidth="1"/>
    <col min="14590" max="14590" width="11.44140625" style="16" customWidth="1"/>
    <col min="14591" max="14591" width="15.88671875" style="16" customWidth="1"/>
    <col min="14592" max="14592" width="17.33203125" style="16" customWidth="1"/>
    <col min="14593" max="14593" width="22.33203125" style="16" customWidth="1"/>
    <col min="14594" max="14761" width="9.109375" style="16"/>
    <col min="14762" max="14762" width="54.44140625" style="16" customWidth="1"/>
    <col min="14763" max="14763" width="14.88671875" style="16" customWidth="1"/>
    <col min="14764" max="14764" width="19" style="16" bestFit="1" customWidth="1"/>
    <col min="14765" max="14766" width="18.33203125" style="16" customWidth="1"/>
    <col min="14767" max="14842" width="9.109375" style="16"/>
    <col min="14843" max="14843" width="3" style="16" customWidth="1"/>
    <col min="14844" max="14844" width="5" style="16" bestFit="1" customWidth="1"/>
    <col min="14845" max="14845" width="81.88671875" style="16" customWidth="1"/>
    <col min="14846" max="14846" width="11.44140625" style="16" customWidth="1"/>
    <col min="14847" max="14847" width="15.88671875" style="16" customWidth="1"/>
    <col min="14848" max="14848" width="17.33203125" style="16" customWidth="1"/>
    <col min="14849" max="14849" width="22.33203125" style="16" customWidth="1"/>
    <col min="14850" max="15017" width="9.109375" style="16"/>
    <col min="15018" max="15018" width="54.44140625" style="16" customWidth="1"/>
    <col min="15019" max="15019" width="14.88671875" style="16" customWidth="1"/>
    <col min="15020" max="15020" width="19" style="16" bestFit="1" customWidth="1"/>
    <col min="15021" max="15022" width="18.33203125" style="16" customWidth="1"/>
    <col min="15023" max="15098" width="9.109375" style="16"/>
    <col min="15099" max="15099" width="3" style="16" customWidth="1"/>
    <col min="15100" max="15100" width="5" style="16" bestFit="1" customWidth="1"/>
    <col min="15101" max="15101" width="81.88671875" style="16" customWidth="1"/>
    <col min="15102" max="15102" width="11.44140625" style="16" customWidth="1"/>
    <col min="15103" max="15103" width="15.88671875" style="16" customWidth="1"/>
    <col min="15104" max="15104" width="17.33203125" style="16" customWidth="1"/>
    <col min="15105" max="15105" width="22.33203125" style="16" customWidth="1"/>
    <col min="15106" max="15273" width="9.109375" style="16"/>
    <col min="15274" max="15274" width="54.44140625" style="16" customWidth="1"/>
    <col min="15275" max="15275" width="14.88671875" style="16" customWidth="1"/>
    <col min="15276" max="15276" width="19" style="16" bestFit="1" customWidth="1"/>
    <col min="15277" max="15278" width="18.33203125" style="16" customWidth="1"/>
    <col min="15279" max="15354" width="9.109375" style="16"/>
    <col min="15355" max="15355" width="3" style="16" customWidth="1"/>
    <col min="15356" max="15356" width="5" style="16" bestFit="1" customWidth="1"/>
    <col min="15357" max="15357" width="81.88671875" style="16" customWidth="1"/>
    <col min="15358" max="15358" width="11.44140625" style="16" customWidth="1"/>
    <col min="15359" max="15359" width="15.88671875" style="16" customWidth="1"/>
    <col min="15360" max="15360" width="17.33203125" style="16" customWidth="1"/>
    <col min="15361" max="15361" width="22.33203125" style="16" customWidth="1"/>
    <col min="15362" max="15529" width="9.109375" style="16"/>
    <col min="15530" max="15530" width="54.44140625" style="16" customWidth="1"/>
    <col min="15531" max="15531" width="14.88671875" style="16" customWidth="1"/>
    <col min="15532" max="15532" width="19" style="16" bestFit="1" customWidth="1"/>
    <col min="15533" max="15534" width="18.33203125" style="16" customWidth="1"/>
    <col min="15535" max="15610" width="9.109375" style="16"/>
    <col min="15611" max="15611" width="3" style="16" customWidth="1"/>
    <col min="15612" max="15612" width="5" style="16" bestFit="1" customWidth="1"/>
    <col min="15613" max="15613" width="81.88671875" style="16" customWidth="1"/>
    <col min="15614" max="15614" width="11.44140625" style="16" customWidth="1"/>
    <col min="15615" max="15615" width="15.88671875" style="16" customWidth="1"/>
    <col min="15616" max="15616" width="17.33203125" style="16" customWidth="1"/>
    <col min="15617" max="15617" width="22.33203125" style="16" customWidth="1"/>
    <col min="15618" max="15785" width="9.109375" style="16"/>
    <col min="15786" max="15786" width="54.44140625" style="16" customWidth="1"/>
    <col min="15787" max="15787" width="14.88671875" style="16" customWidth="1"/>
    <col min="15788" max="15788" width="19" style="16" bestFit="1" customWidth="1"/>
    <col min="15789" max="15790" width="18.33203125" style="16" customWidth="1"/>
    <col min="15791" max="15866" width="9.109375" style="16"/>
    <col min="15867" max="15867" width="3" style="16" customWidth="1"/>
    <col min="15868" max="15868" width="5" style="16" bestFit="1" customWidth="1"/>
    <col min="15869" max="15869" width="81.88671875" style="16" customWidth="1"/>
    <col min="15870" max="15870" width="11.44140625" style="16" customWidth="1"/>
    <col min="15871" max="15871" width="15.88671875" style="16" customWidth="1"/>
    <col min="15872" max="15872" width="17.33203125" style="16" customWidth="1"/>
    <col min="15873" max="15873" width="22.33203125" style="16" customWidth="1"/>
    <col min="15874" max="16041" width="9.109375" style="16"/>
    <col min="16042" max="16042" width="54.44140625" style="16" customWidth="1"/>
    <col min="16043" max="16043" width="14.88671875" style="16" customWidth="1"/>
    <col min="16044" max="16044" width="19" style="16" bestFit="1" customWidth="1"/>
    <col min="16045" max="16046" width="18.33203125" style="16" customWidth="1"/>
    <col min="16047" max="16122" width="9.109375" style="16"/>
    <col min="16123" max="16123" width="3" style="16" customWidth="1"/>
    <col min="16124" max="16124" width="5" style="16" bestFit="1" customWidth="1"/>
    <col min="16125" max="16125" width="81.88671875" style="16" customWidth="1"/>
    <col min="16126" max="16126" width="11.44140625" style="16" customWidth="1"/>
    <col min="16127" max="16127" width="15.88671875" style="16" customWidth="1"/>
    <col min="16128" max="16128" width="17.33203125" style="16" customWidth="1"/>
    <col min="16129" max="16129" width="22.33203125" style="16" customWidth="1"/>
    <col min="16130" max="16297" width="9.109375" style="16"/>
    <col min="16298" max="16298" width="54.44140625" style="16" customWidth="1"/>
    <col min="16299" max="16299" width="14.88671875" style="16" customWidth="1"/>
    <col min="16300" max="16300" width="19" style="16" bestFit="1" customWidth="1"/>
    <col min="16301" max="16302" width="18.33203125" style="16" customWidth="1"/>
    <col min="16303" max="16384" width="9.109375" style="16"/>
  </cols>
  <sheetData>
    <row r="1" spans="1:9" ht="34.5" customHeight="1">
      <c r="A1" s="23"/>
      <c r="B1" s="97" t="s">
        <v>215</v>
      </c>
      <c r="C1" s="98"/>
      <c r="D1" s="98"/>
      <c r="E1" s="98"/>
      <c r="F1" s="99"/>
      <c r="G1" s="16" t="s">
        <v>239</v>
      </c>
      <c r="H1" s="16" t="s">
        <v>240</v>
      </c>
      <c r="I1" s="16" t="s">
        <v>241</v>
      </c>
    </row>
    <row r="2" spans="1:9" s="17" customFormat="1" ht="12.75" customHeight="1">
      <c r="A2" s="23"/>
      <c r="B2" s="24"/>
      <c r="C2" s="25"/>
      <c r="F2" s="26"/>
      <c r="G2" s="17" t="s">
        <v>242</v>
      </c>
      <c r="H2" s="81">
        <v>45916</v>
      </c>
      <c r="I2" s="81">
        <v>45923</v>
      </c>
    </row>
    <row r="3" spans="1:9" s="17" customFormat="1" ht="12.75" customHeight="1">
      <c r="A3" s="23"/>
      <c r="B3" s="100" t="s">
        <v>216</v>
      </c>
      <c r="C3" s="101"/>
      <c r="D3" s="101"/>
      <c r="E3" s="101"/>
      <c r="F3" s="102"/>
      <c r="G3" s="17" t="s">
        <v>243</v>
      </c>
      <c r="H3" s="81">
        <v>45916</v>
      </c>
      <c r="I3" s="81">
        <v>45923</v>
      </c>
    </row>
    <row r="4" spans="1:9" s="17" customFormat="1" ht="15.6">
      <c r="A4" s="23"/>
      <c r="B4" s="27"/>
      <c r="C4" s="28"/>
      <c r="D4" s="28"/>
      <c r="E4" s="28"/>
      <c r="F4" s="29"/>
      <c r="G4" s="17" t="s">
        <v>244</v>
      </c>
      <c r="H4" s="81">
        <v>45916</v>
      </c>
      <c r="I4" s="81">
        <v>45923</v>
      </c>
    </row>
    <row r="5" spans="1:9" s="17" customFormat="1" ht="15.6">
      <c r="A5" s="23"/>
      <c r="B5" s="30" t="s">
        <v>217</v>
      </c>
      <c r="C5" s="31" t="s">
        <v>218</v>
      </c>
      <c r="D5" s="103">
        <f>F54</f>
        <v>15803.64</v>
      </c>
      <c r="E5" s="103"/>
      <c r="F5" s="32"/>
      <c r="G5" s="17" t="s">
        <v>244</v>
      </c>
      <c r="H5" s="81">
        <v>45929</v>
      </c>
      <c r="I5" s="81">
        <v>45930</v>
      </c>
    </row>
    <row r="6" spans="1:9" s="18" customFormat="1" ht="14.4">
      <c r="A6" s="23"/>
      <c r="B6" s="30" t="s">
        <v>219</v>
      </c>
      <c r="C6" s="33" t="s">
        <v>220</v>
      </c>
      <c r="D6" s="33"/>
      <c r="E6" s="33"/>
      <c r="F6" s="34"/>
      <c r="G6" s="18" t="s">
        <v>242</v>
      </c>
      <c r="H6" s="82">
        <v>45929</v>
      </c>
      <c r="I6" s="82">
        <v>45930</v>
      </c>
    </row>
    <row r="7" spans="1:9" s="17" customFormat="1" ht="14.4">
      <c r="A7" s="23"/>
      <c r="B7" s="30" t="s">
        <v>221</v>
      </c>
      <c r="C7" s="33" t="s">
        <v>222</v>
      </c>
      <c r="D7" s="33"/>
      <c r="F7" s="26"/>
    </row>
    <row r="8" spans="1:9" s="17" customFormat="1" ht="15" thickBot="1">
      <c r="A8" s="23"/>
      <c r="B8" s="35" t="s">
        <v>223</v>
      </c>
      <c r="C8" s="36" t="s">
        <v>224</v>
      </c>
      <c r="D8" s="36" t="s">
        <v>225</v>
      </c>
      <c r="E8" s="36" t="s">
        <v>226</v>
      </c>
      <c r="F8" s="37" t="s">
        <v>15</v>
      </c>
    </row>
    <row r="9" spans="1:9" s="18" customFormat="1" ht="34.5" customHeight="1">
      <c r="A9" s="23"/>
      <c r="B9" s="38" t="s">
        <v>227</v>
      </c>
      <c r="C9" s="39"/>
      <c r="D9" s="39"/>
      <c r="E9" s="40"/>
      <c r="F9" s="41">
        <f>SUM(F10:F26)</f>
        <v>0</v>
      </c>
    </row>
    <row r="10" spans="1:9" s="17" customFormat="1" ht="15.75" customHeight="1">
      <c r="A10" s="23"/>
      <c r="B10" s="42"/>
      <c r="C10" s="43" t="s">
        <v>228</v>
      </c>
      <c r="D10" s="44">
        <v>0</v>
      </c>
      <c r="E10" s="45">
        <v>0</v>
      </c>
      <c r="F10" s="46">
        <f>D10*E10</f>
        <v>0</v>
      </c>
    </row>
    <row r="11" spans="1:9" s="17" customFormat="1" ht="15" customHeight="1">
      <c r="A11" s="23"/>
      <c r="B11" s="42"/>
      <c r="C11" s="43" t="s">
        <v>228</v>
      </c>
      <c r="D11" s="44">
        <v>0</v>
      </c>
      <c r="E11" s="45">
        <v>0</v>
      </c>
      <c r="F11" s="46">
        <f>D11*E11</f>
        <v>0</v>
      </c>
    </row>
    <row r="12" spans="1:9" s="17" customFormat="1" ht="15" customHeight="1">
      <c r="A12" s="23"/>
      <c r="B12" s="42"/>
      <c r="C12" s="43" t="s">
        <v>228</v>
      </c>
      <c r="D12" s="44">
        <v>0</v>
      </c>
      <c r="E12" s="45">
        <v>0</v>
      </c>
      <c r="F12" s="46">
        <f t="shared" ref="F12:F26" si="0">D12*E12</f>
        <v>0</v>
      </c>
    </row>
    <row r="13" spans="1:9" s="17" customFormat="1" ht="15" customHeight="1">
      <c r="A13" s="23"/>
      <c r="B13" s="42"/>
      <c r="C13" s="43" t="s">
        <v>228</v>
      </c>
      <c r="D13" s="44">
        <v>0</v>
      </c>
      <c r="E13" s="45">
        <v>0</v>
      </c>
      <c r="F13" s="46">
        <f t="shared" si="0"/>
        <v>0</v>
      </c>
    </row>
    <row r="14" spans="1:9" s="17" customFormat="1" ht="15" customHeight="1">
      <c r="A14" s="23"/>
      <c r="B14" s="42"/>
      <c r="C14" s="43" t="s">
        <v>228</v>
      </c>
      <c r="D14" s="44">
        <v>0</v>
      </c>
      <c r="E14" s="45">
        <v>0</v>
      </c>
      <c r="F14" s="46">
        <f t="shared" si="0"/>
        <v>0</v>
      </c>
    </row>
    <row r="15" spans="1:9" s="17" customFormat="1" ht="15" customHeight="1">
      <c r="A15" s="23"/>
      <c r="B15" s="42"/>
      <c r="C15" s="43" t="s">
        <v>228</v>
      </c>
      <c r="D15" s="44">
        <v>0</v>
      </c>
      <c r="E15" s="45">
        <v>0</v>
      </c>
      <c r="F15" s="46">
        <f>D13*E13</f>
        <v>0</v>
      </c>
    </row>
    <row r="16" spans="1:9" s="17" customFormat="1" ht="15" customHeight="1">
      <c r="A16" s="23"/>
      <c r="B16" s="42"/>
      <c r="C16" s="43" t="s">
        <v>228</v>
      </c>
      <c r="D16" s="44">
        <v>0</v>
      </c>
      <c r="E16" s="45">
        <v>0</v>
      </c>
      <c r="F16" s="46">
        <f t="shared" si="0"/>
        <v>0</v>
      </c>
    </row>
    <row r="17" spans="1:6" s="17" customFormat="1" ht="15" customHeight="1">
      <c r="A17" s="23"/>
      <c r="B17" s="42"/>
      <c r="C17" s="43" t="s">
        <v>228</v>
      </c>
      <c r="D17" s="44">
        <v>0</v>
      </c>
      <c r="E17" s="45">
        <v>0</v>
      </c>
      <c r="F17" s="46">
        <f t="shared" si="0"/>
        <v>0</v>
      </c>
    </row>
    <row r="18" spans="1:6" s="17" customFormat="1" ht="15.75" customHeight="1">
      <c r="A18" s="23"/>
      <c r="B18" s="42"/>
      <c r="C18" s="43" t="s">
        <v>228</v>
      </c>
      <c r="D18" s="44">
        <v>0</v>
      </c>
      <c r="E18" s="45">
        <v>0</v>
      </c>
      <c r="F18" s="46">
        <f t="shared" si="0"/>
        <v>0</v>
      </c>
    </row>
    <row r="19" spans="1:6" s="18" customFormat="1" ht="15.75" customHeight="1">
      <c r="A19" s="23"/>
      <c r="B19" s="42"/>
      <c r="C19" s="43" t="s">
        <v>228</v>
      </c>
      <c r="D19" s="44">
        <v>0</v>
      </c>
      <c r="E19" s="45">
        <v>0</v>
      </c>
      <c r="F19" s="46">
        <f t="shared" si="0"/>
        <v>0</v>
      </c>
    </row>
    <row r="20" spans="1:6" s="18" customFormat="1" ht="15.75" customHeight="1">
      <c r="A20" s="23"/>
      <c r="B20" s="42"/>
      <c r="C20" s="43" t="s">
        <v>228</v>
      </c>
      <c r="D20" s="44">
        <v>0</v>
      </c>
      <c r="E20" s="45">
        <v>0</v>
      </c>
      <c r="F20" s="46">
        <f t="shared" ref="F20:F24" si="1">D20*E20</f>
        <v>0</v>
      </c>
    </row>
    <row r="21" spans="1:6" s="18" customFormat="1" ht="15.75" customHeight="1">
      <c r="A21" s="23"/>
      <c r="B21" s="42"/>
      <c r="C21" s="43" t="s">
        <v>228</v>
      </c>
      <c r="D21" s="44">
        <v>0</v>
      </c>
      <c r="E21" s="45">
        <v>0</v>
      </c>
      <c r="F21" s="46">
        <f t="shared" si="1"/>
        <v>0</v>
      </c>
    </row>
    <row r="22" spans="1:6" s="18" customFormat="1" ht="15.75" customHeight="1">
      <c r="A22" s="23"/>
      <c r="B22" s="42"/>
      <c r="C22" s="43" t="s">
        <v>228</v>
      </c>
      <c r="D22" s="44">
        <v>0</v>
      </c>
      <c r="E22" s="45">
        <v>0</v>
      </c>
      <c r="F22" s="46">
        <f t="shared" si="1"/>
        <v>0</v>
      </c>
    </row>
    <row r="23" spans="1:6" s="18" customFormat="1" ht="15.75" customHeight="1">
      <c r="A23" s="23"/>
      <c r="B23" s="42"/>
      <c r="C23" s="43" t="s">
        <v>228</v>
      </c>
      <c r="D23" s="44">
        <v>0</v>
      </c>
      <c r="E23" s="45">
        <v>0</v>
      </c>
      <c r="F23" s="46">
        <f t="shared" si="1"/>
        <v>0</v>
      </c>
    </row>
    <row r="24" spans="1:6" s="18" customFormat="1" ht="15.75" customHeight="1">
      <c r="A24" s="23"/>
      <c r="B24" s="60"/>
      <c r="C24" s="43" t="s">
        <v>228</v>
      </c>
      <c r="D24" s="44">
        <v>0</v>
      </c>
      <c r="E24" s="45">
        <v>0</v>
      </c>
      <c r="F24" s="46">
        <f t="shared" si="1"/>
        <v>0</v>
      </c>
    </row>
    <row r="25" spans="1:6" s="18" customFormat="1" ht="15.75" customHeight="1">
      <c r="A25" s="23"/>
      <c r="B25" s="42"/>
      <c r="C25" s="43" t="s">
        <v>228</v>
      </c>
      <c r="D25" s="44">
        <v>0</v>
      </c>
      <c r="E25" s="45">
        <v>0</v>
      </c>
      <c r="F25" s="46">
        <f>D23*E23</f>
        <v>0</v>
      </c>
    </row>
    <row r="26" spans="1:6" s="17" customFormat="1" ht="15.75" customHeight="1">
      <c r="A26" s="23"/>
      <c r="B26" s="42"/>
      <c r="C26" s="43" t="s">
        <v>228</v>
      </c>
      <c r="D26" s="44">
        <v>0</v>
      </c>
      <c r="E26" s="45">
        <v>0</v>
      </c>
      <c r="F26" s="46">
        <f t="shared" si="0"/>
        <v>0</v>
      </c>
    </row>
    <row r="27" spans="1:6" s="17" customFormat="1" ht="15" customHeight="1">
      <c r="A27" s="23"/>
      <c r="B27" s="38" t="s">
        <v>229</v>
      </c>
      <c r="C27" s="39"/>
      <c r="D27" s="39"/>
      <c r="E27" s="47"/>
      <c r="F27" s="41">
        <f>SUM(F28:F31)</f>
        <v>0</v>
      </c>
    </row>
    <row r="28" spans="1:6" s="17" customFormat="1" ht="15" customHeight="1">
      <c r="A28" s="23"/>
      <c r="B28" s="42"/>
      <c r="C28" s="43" t="s">
        <v>230</v>
      </c>
      <c r="D28" s="44">
        <v>0</v>
      </c>
      <c r="E28" s="45">
        <v>0</v>
      </c>
      <c r="F28" s="46">
        <f t="shared" ref="F28:F31" si="2">D28*E28</f>
        <v>0</v>
      </c>
    </row>
    <row r="29" spans="1:6" s="17" customFormat="1" ht="15.75" customHeight="1">
      <c r="A29" s="23"/>
      <c r="B29" s="42"/>
      <c r="C29" s="43" t="s">
        <v>230</v>
      </c>
      <c r="D29" s="44">
        <v>0</v>
      </c>
      <c r="E29" s="45">
        <v>0</v>
      </c>
      <c r="F29" s="46">
        <f t="shared" si="2"/>
        <v>0</v>
      </c>
    </row>
    <row r="30" spans="1:6" s="17" customFormat="1" ht="15" customHeight="1">
      <c r="A30" s="23"/>
      <c r="B30" s="42"/>
      <c r="C30" s="43" t="s">
        <v>228</v>
      </c>
      <c r="D30" s="44">
        <v>0</v>
      </c>
      <c r="E30" s="45">
        <v>0</v>
      </c>
      <c r="F30" s="46">
        <f t="shared" si="2"/>
        <v>0</v>
      </c>
    </row>
    <row r="31" spans="1:6" s="17" customFormat="1" ht="15.75" customHeight="1">
      <c r="A31" s="23"/>
      <c r="B31" s="42"/>
      <c r="C31" s="43" t="s">
        <v>230</v>
      </c>
      <c r="D31" s="44">
        <v>0</v>
      </c>
      <c r="E31" s="45">
        <v>0</v>
      </c>
      <c r="F31" s="46">
        <f t="shared" si="2"/>
        <v>0</v>
      </c>
    </row>
    <row r="32" spans="1:6" s="17" customFormat="1" ht="45" customHeight="1">
      <c r="A32" s="23"/>
      <c r="B32" s="38" t="s">
        <v>231</v>
      </c>
      <c r="C32" s="39"/>
      <c r="D32" s="39"/>
      <c r="E32" s="39"/>
      <c r="F32" s="41">
        <f>SUM(F33:F44)</f>
        <v>7901.82</v>
      </c>
    </row>
    <row r="33" spans="1:6" s="17" customFormat="1" ht="14.4">
      <c r="A33" s="23"/>
      <c r="B33" s="42"/>
      <c r="C33" s="43" t="s">
        <v>232</v>
      </c>
      <c r="D33" s="44">
        <v>0</v>
      </c>
      <c r="E33" s="45">
        <v>0</v>
      </c>
      <c r="F33" s="46">
        <f t="shared" ref="F33:F44" si="3">D33*E33</f>
        <v>0</v>
      </c>
    </row>
    <row r="34" spans="1:6" s="17" customFormat="1" ht="14.4">
      <c r="A34" s="23"/>
      <c r="B34" s="42"/>
      <c r="C34" s="43" t="s">
        <v>232</v>
      </c>
      <c r="D34" s="44">
        <v>0</v>
      </c>
      <c r="E34" s="45">
        <v>0</v>
      </c>
      <c r="F34" s="46">
        <f t="shared" si="3"/>
        <v>0</v>
      </c>
    </row>
    <row r="35" spans="1:6" s="17" customFormat="1" ht="14.4">
      <c r="A35" s="23"/>
      <c r="B35" s="42"/>
      <c r="C35" s="43" t="s">
        <v>232</v>
      </c>
      <c r="D35" s="44">
        <v>0</v>
      </c>
      <c r="E35" s="45">
        <v>0</v>
      </c>
      <c r="F35" s="46">
        <v>0</v>
      </c>
    </row>
    <row r="36" spans="1:6" s="17" customFormat="1" ht="14.4">
      <c r="A36" s="23"/>
      <c r="B36" s="42"/>
      <c r="C36" s="43" t="s">
        <v>232</v>
      </c>
      <c r="D36" s="44">
        <v>0</v>
      </c>
      <c r="E36" s="45">
        <v>0</v>
      </c>
      <c r="F36" s="46">
        <f t="shared" si="3"/>
        <v>0</v>
      </c>
    </row>
    <row r="37" spans="1:6" s="17" customFormat="1" ht="15" customHeight="1">
      <c r="A37" s="23"/>
      <c r="B37" s="42"/>
      <c r="C37" s="43" t="s">
        <v>233</v>
      </c>
      <c r="D37" s="44">
        <v>0</v>
      </c>
      <c r="E37" s="45">
        <v>0</v>
      </c>
      <c r="F37" s="46">
        <f t="shared" si="3"/>
        <v>0</v>
      </c>
    </row>
    <row r="38" spans="1:6" s="17" customFormat="1" ht="15" customHeight="1">
      <c r="A38" s="23"/>
      <c r="B38" s="42"/>
      <c r="C38" s="43" t="s">
        <v>233</v>
      </c>
      <c r="D38" s="44">
        <v>0</v>
      </c>
      <c r="E38" s="45">
        <v>0</v>
      </c>
      <c r="F38" s="46">
        <f t="shared" si="3"/>
        <v>0</v>
      </c>
    </row>
    <row r="39" spans="1:6" s="17" customFormat="1" ht="15" customHeight="1">
      <c r="A39" s="23"/>
      <c r="B39" s="42"/>
      <c r="C39" s="43" t="s">
        <v>234</v>
      </c>
      <c r="D39" s="44">
        <v>0</v>
      </c>
      <c r="E39" s="45">
        <v>0</v>
      </c>
      <c r="F39" s="46">
        <f t="shared" si="3"/>
        <v>0</v>
      </c>
    </row>
    <row r="40" spans="1:6" s="17" customFormat="1" ht="15" customHeight="1">
      <c r="A40" s="23"/>
      <c r="B40" s="42"/>
      <c r="C40" s="43" t="s">
        <v>233</v>
      </c>
      <c r="D40" s="44">
        <v>0</v>
      </c>
      <c r="E40" s="45">
        <v>0</v>
      </c>
      <c r="F40" s="46">
        <f t="shared" si="3"/>
        <v>0</v>
      </c>
    </row>
    <row r="41" spans="1:6" s="17" customFormat="1" ht="15" customHeight="1">
      <c r="A41" s="23"/>
      <c r="B41" s="42"/>
      <c r="C41" s="43" t="s">
        <v>234</v>
      </c>
      <c r="D41" s="44">
        <v>0</v>
      </c>
      <c r="E41" s="45">
        <v>0</v>
      </c>
      <c r="F41" s="83">
        <f t="shared" si="3"/>
        <v>0</v>
      </c>
    </row>
    <row r="42" spans="1:6" s="17" customFormat="1" ht="15" customHeight="1">
      <c r="A42" s="23"/>
      <c r="B42" s="42"/>
      <c r="C42" s="43" t="s">
        <v>234</v>
      </c>
      <c r="D42" s="44">
        <v>0</v>
      </c>
      <c r="E42" s="45">
        <v>0</v>
      </c>
      <c r="F42" s="46">
        <v>7901.82</v>
      </c>
    </row>
    <row r="43" spans="1:6" s="17" customFormat="1" ht="15" customHeight="1">
      <c r="A43" s="23"/>
      <c r="B43" s="42"/>
      <c r="C43" s="43" t="s">
        <v>234</v>
      </c>
      <c r="D43" s="44">
        <v>0</v>
      </c>
      <c r="E43" s="45">
        <v>0</v>
      </c>
      <c r="F43" s="46">
        <f t="shared" si="3"/>
        <v>0</v>
      </c>
    </row>
    <row r="44" spans="1:6" s="17" customFormat="1" ht="15" customHeight="1">
      <c r="A44" s="23"/>
      <c r="B44" s="42"/>
      <c r="C44" s="43"/>
      <c r="D44" s="44">
        <v>0</v>
      </c>
      <c r="E44" s="45">
        <v>0</v>
      </c>
      <c r="F44" s="46">
        <f t="shared" si="3"/>
        <v>0</v>
      </c>
    </row>
    <row r="45" spans="1:6" ht="15" customHeight="1">
      <c r="A45" s="23"/>
      <c r="B45" s="38" t="s">
        <v>235</v>
      </c>
      <c r="C45" s="39"/>
      <c r="D45" s="39"/>
      <c r="E45" s="39"/>
      <c r="F45" s="41">
        <v>0</v>
      </c>
    </row>
    <row r="46" spans="1:6" ht="15" customHeight="1">
      <c r="A46" s="23"/>
      <c r="B46" s="42"/>
      <c r="C46" s="48" t="s">
        <v>228</v>
      </c>
      <c r="D46" s="44">
        <v>0</v>
      </c>
      <c r="E46" s="45">
        <v>0</v>
      </c>
      <c r="F46" s="46">
        <v>0</v>
      </c>
    </row>
    <row r="47" spans="1:6" ht="15" customHeight="1">
      <c r="A47" s="23"/>
      <c r="B47" s="42"/>
      <c r="C47" s="48" t="s">
        <v>228</v>
      </c>
      <c r="D47" s="44">
        <v>0</v>
      </c>
      <c r="E47" s="45">
        <v>0</v>
      </c>
      <c r="F47" s="46">
        <f>D47*E47</f>
        <v>0</v>
      </c>
    </row>
    <row r="48" spans="1:6" ht="15.75" customHeight="1">
      <c r="A48" s="23"/>
      <c r="B48" s="38" t="s">
        <v>236</v>
      </c>
      <c r="C48" s="39"/>
      <c r="D48" s="39"/>
      <c r="E48" s="39"/>
      <c r="F48" s="41">
        <f>SUM(F49:F49)</f>
        <v>0</v>
      </c>
    </row>
    <row r="49" spans="1:6" ht="15.75" customHeight="1">
      <c r="A49" s="23"/>
      <c r="B49" s="42"/>
      <c r="C49" s="43" t="s">
        <v>228</v>
      </c>
      <c r="D49" s="44">
        <v>0</v>
      </c>
      <c r="E49" s="45">
        <v>0</v>
      </c>
      <c r="F49" s="46">
        <f>D49*E49</f>
        <v>0</v>
      </c>
    </row>
    <row r="50" spans="1:6" ht="14.4">
      <c r="A50" s="23"/>
      <c r="B50" s="42"/>
      <c r="C50" s="43" t="s">
        <v>228</v>
      </c>
      <c r="D50" s="44">
        <v>0</v>
      </c>
      <c r="E50" s="45">
        <v>0</v>
      </c>
      <c r="F50" s="46">
        <f>D50*E50</f>
        <v>0</v>
      </c>
    </row>
    <row r="51" spans="1:6" ht="14.4">
      <c r="A51" s="23"/>
      <c r="B51" s="38" t="s">
        <v>237</v>
      </c>
      <c r="C51" s="39"/>
      <c r="D51" s="39"/>
      <c r="E51" s="40"/>
      <c r="F51" s="41">
        <f>SUM(F31:F32)</f>
        <v>7901.82</v>
      </c>
    </row>
    <row r="52" spans="1:6" ht="14.4">
      <c r="A52" s="23"/>
      <c r="B52" s="93"/>
      <c r="C52" s="43" t="s">
        <v>228</v>
      </c>
      <c r="D52" s="44">
        <v>0</v>
      </c>
      <c r="E52" s="45">
        <v>0</v>
      </c>
      <c r="F52" s="46">
        <f>D52*E52</f>
        <v>0</v>
      </c>
    </row>
    <row r="53" spans="1:6" ht="15" thickBot="1">
      <c r="A53" s="23"/>
      <c r="B53" s="93"/>
      <c r="C53" s="43" t="s">
        <v>228</v>
      </c>
      <c r="D53" s="44">
        <v>0</v>
      </c>
      <c r="E53" s="45">
        <v>0</v>
      </c>
      <c r="F53" s="46">
        <f>D32*E32</f>
        <v>0</v>
      </c>
    </row>
    <row r="54" spans="1:6" ht="21.75" customHeight="1" thickBot="1">
      <c r="A54" s="23"/>
      <c r="B54" s="94"/>
      <c r="C54" s="95"/>
      <c r="D54" s="95"/>
      <c r="E54" s="96"/>
      <c r="F54" s="49">
        <f>SUM(F51,F45,F48,F32,F27,F9)</f>
        <v>15803.64</v>
      </c>
    </row>
  </sheetData>
  <protectedRanges>
    <protectedRange password="C714" sqref="B51:C53" name="Intervalo1_3_3_1" securityDescriptor="O:WDG:WDD:(D;;CC;;;WD)"/>
    <protectedRange password="C714" sqref="D51:D53" name="Intervalo1_3_1_2_1" securityDescriptor="O:WDG:WDD:(D;;CC;;;WD)"/>
  </protectedRanges>
  <mergeCells count="5">
    <mergeCell ref="B52:B53"/>
    <mergeCell ref="B54:E54"/>
    <mergeCell ref="B1:F1"/>
    <mergeCell ref="B3:F3"/>
    <mergeCell ref="D5:E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Materiais</vt:lpstr>
      <vt:lpstr>Equipamentos</vt:lpstr>
      <vt:lpstr>M.O.</vt:lpstr>
    </vt:vector>
  </TitlesOfParts>
  <Manager/>
  <Company>NETSERVICOS S/A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phoenix</dc:creator>
  <cp:keywords/>
  <dc:description/>
  <cp:lastModifiedBy>João Victor Azeredo Machado</cp:lastModifiedBy>
  <cp:revision/>
  <dcterms:created xsi:type="dcterms:W3CDTF">2013-12-03T20:00:19Z</dcterms:created>
  <dcterms:modified xsi:type="dcterms:W3CDTF">2026-09-02T14:29:42Z</dcterms:modified>
  <cp:category/>
  <cp:contentStatus/>
</cp:coreProperties>
</file>