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Resumo" sheetId="1" state="visible" r:id="rId1"/>
    <sheet name="Materiais" sheetId="2" state="visible" r:id="rId2"/>
    <sheet name="Equipamentos" sheetId="3" state="visible" r:id="rId3"/>
    <sheet name="M.O." sheetId="4" state="visible" r:id="rId4"/>
  </sheets>
  <definedNames>
    <definedName name="_xlnm._FilterDatabase" localSheetId="1" hidden="1">'Materiais'!$A$3:$E$126</definedName>
    <definedName name="_xlnm._FilterDatabase" localSheetId="2" hidden="1">'Equipamentos'!$A$3:$E$72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_(&quot;R$&quot;* #,##0.00_);_(&quot;R$&quot;* \(#,##0.00\);_(&quot;R$&quot;* &quot;-&quot;??_);_(@_)"/>
    <numFmt numFmtId="165" formatCode="_(* #,##0_);_(* \(#,##0\);_(* &quot;-&quot;??_);_(@_)"/>
    <numFmt numFmtId="166" formatCode="0;[Red]0"/>
    <numFmt numFmtId="167" formatCode="&quot;R$ &quot;#,##0.00;[Red]&quot;R$ &quot;#,##0.00"/>
    <numFmt numFmtId="168" formatCode="[$-416]d\-mmm\-yy;@"/>
    <numFmt numFmtId="169" formatCode="&quot;R$ &quot;#,##0_);\(&quot;R$ &quot;#,##0\)"/>
    <numFmt numFmtId="170" formatCode="_(&quot;R$ &quot;* #,##0.00_);_(&quot;R$ &quot;* \(#,##0.00\);_(&quot;R$ &quot;* &quot;-&quot;??_);_(@_)"/>
    <numFmt numFmtId="171" formatCode="&quot;R$&quot;\ #,##0.00;\-&quot;R$&quot;\ #,##0.00"/>
    <numFmt numFmtId="172" formatCode="#,##0.0;[Red]#,##0.0"/>
    <numFmt numFmtId="173" formatCode="_-&quot;R$&quot;\ * #,##0.00_-;\-&quot;R$&quot;\ * #,##0.00_-;_-&quot;R$&quot;\ * &quot;-&quot;??_-;_-@_-"/>
    <numFmt numFmtId="174" formatCode="&quot;R$ &quot;#,##0.00"/>
    <numFmt numFmtId="175" formatCode="&quot;R$&quot;#,##0.00;[Red]\-&quot;R$&quot;#,##0.00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Sans Serif"/>
      <family val="2"/>
      <sz val="10"/>
    </font>
    <font>
      <name val="Calibri"/>
      <family val="2"/>
      <sz val="11"/>
      <scheme val="minor"/>
    </font>
    <font>
      <name val="Calibri"/>
      <family val="2"/>
      <color indexed="8"/>
      <sz val="11"/>
    </font>
    <font>
      <name val="BankGothic Md BT"/>
      <family val="2"/>
      <color indexed="9"/>
      <sz val="26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color theme="4" tint="-0.499984740745262"/>
      <sz val="10"/>
    </font>
    <font>
      <name val="Tahoma"/>
      <family val="2"/>
      <b val="1"/>
      <color theme="4" tint="-0.499984740745262"/>
      <sz val="11"/>
    </font>
    <font>
      <name val="Tahoma"/>
      <family val="2"/>
      <b val="1"/>
      <color theme="4" tint="-0.499984740745262"/>
      <sz val="10"/>
    </font>
    <font>
      <name val="Tahoma"/>
      <family val="2"/>
      <b val="1"/>
      <color theme="4" tint="-0.499984740745262"/>
      <sz val="12"/>
    </font>
    <font>
      <name val="Arial"/>
      <family val="2"/>
      <b val="1"/>
      <color theme="4" tint="-0.499984740745262"/>
      <sz val="12"/>
    </font>
    <font>
      <name val="Tahoma"/>
      <family val="2"/>
      <b val="1"/>
      <color theme="4" tint="-0.499984740745262"/>
      <sz val="8"/>
    </font>
    <font>
      <name val="Calibri"/>
      <family val="2"/>
      <b val="1"/>
      <color theme="3"/>
      <sz val="11"/>
      <scheme val="minor"/>
    </font>
    <font>
      <name val="BankGothic Md BT"/>
      <family val="2"/>
      <color indexed="9"/>
      <sz val="20"/>
    </font>
    <font>
      <name val="Calibri"/>
      <family val="2"/>
      <sz val="10"/>
      <scheme val="minor"/>
    </font>
    <font>
      <name val="Calibri"/>
      <family val="2"/>
      <b val="1"/>
      <color theme="3" tint="-0.249977111117893"/>
      <sz val="10"/>
      <scheme val="minor"/>
    </font>
    <font>
      <name val="Calibri"/>
      <family val="2"/>
      <b val="1"/>
      <i val="1"/>
      <color theme="3" tint="-0.249977111117893"/>
      <sz val="11"/>
      <u val="single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20"/>
      <scheme val="minor"/>
    </font>
    <font>
      <name val="Tahoma"/>
      <family val="2"/>
      <color theme="4" tint="-0.499984740745262"/>
      <sz val="8"/>
    </font>
    <font>
      <name val="Calibri"/>
      <family val="2"/>
      <color rgb="FF0070C0"/>
      <sz val="12"/>
      <scheme val="minor"/>
    </font>
    <font>
      <name val="Calibri"/>
      <family val="2"/>
      <b val="1"/>
      <color rgb="FF0070C0"/>
      <sz val="12"/>
      <scheme val="minor"/>
    </font>
    <font>
      <name val="Calibri"/>
      <family val="2"/>
      <sz val="8"/>
      <scheme val="minor"/>
    </font>
    <font>
      <name val="Calibri"/>
      <family val="2"/>
      <b val="1"/>
      <sz val="14"/>
      <scheme val="minor"/>
    </font>
    <font>
      <name val="Calibri"/>
      <family val="2"/>
      <color theme="0"/>
      <sz val="18"/>
      <scheme val="minor"/>
    </font>
    <font>
      <name val="Calibri"/>
      <family val="2"/>
      <b val="1"/>
      <color rgb="FF000000"/>
      <sz val="11"/>
    </font>
    <font>
      <name val="Cambria"/>
      <family val="1"/>
      <b val="1"/>
      <color theme="1"/>
      <sz val="11"/>
    </font>
    <font>
      <name val="Calibri"/>
      <family val="2"/>
      <sz val="10"/>
      <u val="singleAccounting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indexed="64"/>
      </right>
      <top/>
      <bottom style="medium">
        <color theme="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1" fillId="0" borderId="0"/>
    <xf numFmtId="43" fontId="1" fillId="0" borderId="0"/>
    <xf numFmtId="170" fontId="1" fillId="0" borderId="0"/>
    <xf numFmtId="0" fontId="1" fillId="0" borderId="0"/>
    <xf numFmtId="170" fontId="3" fillId="0" borderId="0"/>
    <xf numFmtId="43" fontId="5" fillId="0" borderId="0"/>
  </cellStyleXfs>
  <cellXfs count="146">
    <xf numFmtId="0" fontId="0" fillId="0" borderId="0" pivotButton="0" quotePrefix="0" xfId="0"/>
    <xf numFmtId="0" fontId="2" fillId="2" borderId="1" pivotButton="0" quotePrefix="0" xfId="3"/>
    <xf numFmtId="0" fontId="2" fillId="2" borderId="1" applyAlignment="1" pivotButton="0" quotePrefix="0" xfId="3">
      <alignment horizontal="center"/>
    </xf>
    <xf numFmtId="164" fontId="1" fillId="2" borderId="1" applyProtection="1" pivotButton="0" quotePrefix="0" xfId="2">
      <protection locked="0" hidden="0"/>
    </xf>
    <xf numFmtId="165" fontId="2" fillId="2" borderId="1" pivotButton="0" quotePrefix="0" xfId="5"/>
    <xf numFmtId="165" fontId="2" fillId="2" borderId="1" pivotButton="0" quotePrefix="0" xfId="1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left" vertical="center" indent="1"/>
    </xf>
    <xf numFmtId="167" fontId="11" fillId="2" borderId="0" applyAlignment="1" pivotButton="0" quotePrefix="0" xfId="0">
      <alignment horizontal="center" vertical="center"/>
    </xf>
    <xf numFmtId="168" fontId="11" fillId="2" borderId="0" applyAlignment="1" pivotButton="0" quotePrefix="0" xfId="0">
      <alignment horizontal="right" vertical="center"/>
    </xf>
    <xf numFmtId="169" fontId="14" fillId="4" borderId="5" applyAlignment="1" pivotButton="0" quotePrefix="0" xfId="2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70" fontId="14" fillId="4" borderId="5" applyAlignment="1" pivotButton="0" quotePrefix="0" xfId="2">
      <alignment horizontal="center" vertical="center"/>
    </xf>
    <xf numFmtId="1" fontId="1" fillId="2" borderId="1" applyAlignment="1" applyProtection="1" pivotButton="0" quotePrefix="0" xfId="3">
      <alignment horizontal="center"/>
      <protection locked="0" hidden="0"/>
    </xf>
    <xf numFmtId="169" fontId="0" fillId="2" borderId="0" pivotButton="0" quotePrefix="0" xfId="0"/>
    <xf numFmtId="17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20" fillId="0" borderId="4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horizontal="center" vertical="center"/>
      <protection locked="0" hidden="0"/>
    </xf>
    <xf numFmtId="0" fontId="17" fillId="0" borderId="7" applyAlignment="1" applyProtection="1" pivotButton="0" quotePrefix="0" xfId="0">
      <alignment vertical="center"/>
      <protection locked="0" hidden="0"/>
    </xf>
    <xf numFmtId="0" fontId="21" fillId="0" borderId="4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7" applyAlignment="1" applyProtection="1" pivotButton="0" quotePrefix="0" xfId="0">
      <alignment horizontal="center" vertical="center"/>
      <protection locked="0" hidden="0"/>
    </xf>
    <xf numFmtId="0" fontId="15" fillId="0" borderId="4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171" fontId="21" fillId="0" borderId="7" applyAlignment="1" applyProtection="1" pivotButton="0" quotePrefix="0" xfId="0">
      <alignment vertical="center"/>
      <protection locked="0" hidden="0"/>
    </xf>
    <xf numFmtId="0" fontId="22" fillId="0" borderId="0" applyAlignment="1" applyProtection="1" pivotButton="0" quotePrefix="0" xfId="0">
      <alignment vertical="center"/>
      <protection locked="0" hidden="0"/>
    </xf>
    <xf numFmtId="0" fontId="22" fillId="0" borderId="7" applyAlignment="1" applyProtection="1" pivotButton="0" quotePrefix="0" xfId="0">
      <alignment vertical="center"/>
      <protection locked="0" hidden="0"/>
    </xf>
    <xf numFmtId="0" fontId="23" fillId="0" borderId="8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19" fillId="5" borderId="4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172" fontId="19" fillId="5" borderId="0" applyAlignment="1" pivotButton="0" quotePrefix="0" xfId="0">
      <alignment horizontal="center" vertical="center"/>
    </xf>
    <xf numFmtId="170" fontId="19" fillId="5" borderId="7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167" fontId="17" fillId="0" borderId="11" applyAlignment="1" pivotButton="0" quotePrefix="0" xfId="0">
      <alignment horizontal="center" vertical="center"/>
    </xf>
    <xf numFmtId="172" fontId="17" fillId="0" borderId="11" applyAlignment="1" pivotButton="0" quotePrefix="0" xfId="0">
      <alignment horizontal="center" vertical="center"/>
    </xf>
    <xf numFmtId="173" fontId="17" fillId="0" borderId="12" applyAlignment="1" pivotButton="0" quotePrefix="0" xfId="2">
      <alignment horizontal="center" vertical="center"/>
    </xf>
    <xf numFmtId="172" fontId="19" fillId="5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3" fontId="8" fillId="6" borderId="16" applyAlignment="1" pivotButton="0" quotePrefix="0" xfId="2">
      <alignment vertical="center"/>
    </xf>
    <xf numFmtId="0" fontId="6" fillId="7" borderId="0" applyAlignment="1" pivotButton="0" quotePrefix="0" xfId="0">
      <alignment vertical="center"/>
    </xf>
    <xf numFmtId="164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37" fontId="25" fillId="4" borderId="1" applyAlignment="1" pivotButton="0" quotePrefix="0" xfId="2">
      <alignment horizontal="center" vertical="center"/>
    </xf>
    <xf numFmtId="1" fontId="9" fillId="2" borderId="1" applyAlignment="1" pivotButton="0" quotePrefix="0" xfId="0">
      <alignment horizontal="center" vertical="center"/>
    </xf>
    <xf numFmtId="0" fontId="11" fillId="5" borderId="17" applyAlignment="1" pivotButton="0" quotePrefix="0" xfId="0">
      <alignment horizontal="center" vertical="center"/>
    </xf>
    <xf numFmtId="164" fontId="29" fillId="5" borderId="1" applyAlignment="1" pivotButton="0" quotePrefix="0" xfId="2">
      <alignment vertical="center"/>
    </xf>
    <xf numFmtId="0" fontId="8" fillId="5" borderId="1" applyAlignment="1" pivotButton="0" quotePrefix="0" xfId="0">
      <alignment horizontal="left" vertical="center"/>
    </xf>
    <xf numFmtId="174" fontId="8" fillId="5" borderId="1" applyAlignment="1" pivotButton="0" quotePrefix="0" xfId="0">
      <alignment horizontal="left" vertical="center"/>
    </xf>
    <xf numFmtId="3" fontId="7" fillId="0" borderId="4" applyAlignment="1" pivotButton="0" quotePrefix="0" xfId="0">
      <alignment horizontal="left" vertical="center"/>
    </xf>
    <xf numFmtId="49" fontId="21" fillId="0" borderId="1" applyAlignment="1" pivotButton="0" quotePrefix="0" xfId="0">
      <alignment horizontal="center" vertical="center"/>
    </xf>
    <xf numFmtId="0" fontId="1" fillId="8" borderId="0" applyAlignment="1" pivotButton="0" quotePrefix="0" xfId="3">
      <alignment horizontal="center"/>
    </xf>
    <xf numFmtId="170" fontId="27" fillId="8" borderId="19" applyAlignment="1" pivotButton="0" quotePrefix="0" xfId="2">
      <alignment horizontal="center" wrapText="1"/>
    </xf>
    <xf numFmtId="164" fontId="29" fillId="5" borderId="20" applyAlignment="1" pivotButton="0" quotePrefix="0" xfId="2">
      <alignment horizontal="right" vertical="center"/>
    </xf>
    <xf numFmtId="0" fontId="21" fillId="0" borderId="21" applyAlignment="1" pivotButton="0" quotePrefix="0" xfId="3">
      <alignment horizontal="center" vertical="center"/>
    </xf>
    <xf numFmtId="0" fontId="21" fillId="0" borderId="21" applyAlignment="1" pivotButton="0" quotePrefix="0" xfId="3">
      <alignment horizontal="left" vertical="center"/>
    </xf>
    <xf numFmtId="1" fontId="21" fillId="0" borderId="21" applyAlignment="1" pivotButton="0" quotePrefix="0" xfId="1">
      <alignment horizontal="center" vertical="center"/>
    </xf>
    <xf numFmtId="165" fontId="21" fillId="0" borderId="21" applyAlignment="1" pivotButton="0" quotePrefix="0" xfId="5">
      <alignment horizontal="center" vertical="center"/>
    </xf>
    <xf numFmtId="165" fontId="21" fillId="0" borderId="21" applyAlignment="1" pivotButton="0" quotePrefix="0" xfId="1">
      <alignment horizontal="center" vertical="center"/>
    </xf>
    <xf numFmtId="49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164" fontId="21" fillId="0" borderId="21" applyAlignment="1" applyProtection="1" pivotButton="0" quotePrefix="0" xfId="2">
      <alignment horizontal="center" vertical="center"/>
      <protection locked="0" hidden="0"/>
    </xf>
    <xf numFmtId="0" fontId="21" fillId="0" borderId="21" applyAlignment="1" pivotButton="0" quotePrefix="0" xfId="0">
      <alignment horizontal="left" vertical="center"/>
    </xf>
    <xf numFmtId="1" fontId="21" fillId="0" borderId="21" applyAlignment="1" applyProtection="1" pivotButton="0" quotePrefix="0" xfId="1">
      <alignment horizontal="center" vertical="center"/>
      <protection locked="0" hidden="0"/>
    </xf>
    <xf numFmtId="0" fontId="31" fillId="0" borderId="21" applyAlignment="1" pivotButton="0" quotePrefix="0" xfId="0">
      <alignment vertical="center"/>
    </xf>
    <xf numFmtId="0" fontId="31" fillId="0" borderId="21" applyAlignment="1" pivotButton="0" quotePrefix="0" xfId="0">
      <alignment horizontal="center" vertical="center"/>
    </xf>
    <xf numFmtId="175" fontId="31" fillId="0" borderId="21" applyAlignment="1" pivotButton="0" quotePrefix="0" xfId="0">
      <alignment vertical="center"/>
    </xf>
    <xf numFmtId="0" fontId="32" fillId="0" borderId="21" applyAlignment="1" pivotButton="0" quotePrefix="0" xfId="0">
      <alignment vertical="center" wrapText="1"/>
    </xf>
    <xf numFmtId="0" fontId="2" fillId="0" borderId="21" pivotButton="0" quotePrefix="0" xfId="0"/>
    <xf numFmtId="164" fontId="21" fillId="0" borderId="21" applyAlignment="1" applyProtection="1" pivotButton="0" quotePrefix="0" xfId="2">
      <alignment horizontal="left" vertical="center"/>
      <protection locked="0" hidden="0"/>
    </xf>
    <xf numFmtId="14" fontId="17" fillId="0" borderId="0" applyAlignment="1" applyProtection="1" pivotButton="0" quotePrefix="0" xfId="0">
      <alignment vertical="center"/>
      <protection locked="0" hidden="0"/>
    </xf>
    <xf numFmtId="14" fontId="4" fillId="0" borderId="0" applyAlignment="1" applyProtection="1" pivotButton="0" quotePrefix="0" xfId="0">
      <alignment vertical="center"/>
      <protection locked="0" hidden="0"/>
    </xf>
    <xf numFmtId="173" fontId="33" fillId="0" borderId="12" applyAlignment="1" pivotButton="0" quotePrefix="0" xfId="2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32" fillId="0" borderId="21" applyAlignment="1" pivotButton="0" quotePrefix="0" xfId="0">
      <alignment vertical="center" wrapText="1"/>
    </xf>
    <xf numFmtId="38" fontId="26" fillId="8" borderId="0" applyAlignment="1" pivotButton="0" quotePrefix="0" xfId="1">
      <alignment horizontal="right" wrapText="1"/>
    </xf>
    <xf numFmtId="0" fontId="30" fillId="8" borderId="0" applyAlignment="1" pivotButton="0" quotePrefix="0" xfId="3">
      <alignment horizontal="center" vertical="center"/>
    </xf>
    <xf numFmtId="0" fontId="30" fillId="8" borderId="18" applyAlignment="1" pivotButton="0" quotePrefix="0" xfId="3">
      <alignment horizontal="center" vertical="center"/>
    </xf>
    <xf numFmtId="0" fontId="7" fillId="0" borderId="4" applyAlignment="1" pivotButton="0" quotePrefix="0" xfId="0">
      <alignment vertical="center"/>
    </xf>
    <xf numFmtId="0" fontId="7" fillId="6" borderId="13" applyAlignment="1" pivotButton="0" quotePrefix="0" xfId="0">
      <alignment horizontal="center" vertical="center"/>
    </xf>
    <xf numFmtId="0" fontId="7" fillId="6" borderId="14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16" fillId="3" borderId="2" applyAlignment="1" applyProtection="1" pivotButton="0" quotePrefix="0" xfId="0">
      <alignment horizontal="center" vertical="center"/>
      <protection locked="0" hidden="0"/>
    </xf>
    <xf numFmtId="0" fontId="16" fillId="3" borderId="3" applyAlignment="1" applyProtection="1" pivotButton="0" quotePrefix="0" xfId="0">
      <alignment horizontal="center" vertical="center"/>
      <protection locked="0" hidden="0"/>
    </xf>
    <xf numFmtId="0" fontId="16" fillId="3" borderId="6" applyAlignment="1" applyProtection="1" pivotButton="0" quotePrefix="0" xfId="0">
      <alignment horizontal="center" vertical="center"/>
      <protection locked="0" hidden="0"/>
    </xf>
    <xf numFmtId="0" fontId="21" fillId="0" borderId="4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7" applyAlignment="1" applyProtection="1" pivotButton="0" quotePrefix="0" xfId="0">
      <alignment horizontal="center" vertical="center"/>
      <protection locked="0" hidden="0"/>
    </xf>
    <xf numFmtId="173" fontId="21" fillId="0" borderId="0" applyAlignment="1" applyProtection="1" pivotButton="0" quotePrefix="0" xfId="0">
      <alignment horizontal="center" vertical="center"/>
      <protection locked="0" hidden="0"/>
    </xf>
    <xf numFmtId="168" fontId="11" fillId="2" borderId="0" applyAlignment="1" pivotButton="0" quotePrefix="0" xfId="0">
      <alignment horizontal="right" vertical="center"/>
    </xf>
    <xf numFmtId="174" fontId="8" fillId="5" borderId="1" applyAlignment="1" pivotButton="0" quotePrefix="0" xfId="0">
      <alignment horizontal="left" vertical="center"/>
    </xf>
    <xf numFmtId="169" fontId="14" fillId="4" borderId="5" applyAlignment="1" pivotButton="0" quotePrefix="0" xfId="2">
      <alignment horizontal="center" vertical="center"/>
    </xf>
    <xf numFmtId="170" fontId="14" fillId="4" borderId="5" applyAlignment="1" pivotButton="0" quotePrefix="0" xfId="2">
      <alignment horizontal="center" vertical="center"/>
    </xf>
    <xf numFmtId="166" fontId="11" fillId="2" borderId="0" applyAlignment="1" pivotButton="0" quotePrefix="0" xfId="0">
      <alignment horizontal="left" vertical="center" indent="1"/>
    </xf>
    <xf numFmtId="167" fontId="11" fillId="2" borderId="0" applyAlignment="1" pivotButton="0" quotePrefix="0" xfId="0">
      <alignment horizontal="center" vertical="center"/>
    </xf>
    <xf numFmtId="169" fontId="0" fillId="2" borderId="0" pivotButton="0" quotePrefix="0" xfId="0"/>
    <xf numFmtId="170" fontId="0" fillId="2" borderId="0" pivotButton="0" quotePrefix="0" xfId="0"/>
    <xf numFmtId="170" fontId="27" fillId="8" borderId="19" applyAlignment="1" pivotButton="0" quotePrefix="0" xfId="2">
      <alignment horizontal="center" wrapText="1"/>
    </xf>
    <xf numFmtId="0" fontId="0" fillId="0" borderId="18" pivotButton="0" quotePrefix="0" xfId="0"/>
    <xf numFmtId="164" fontId="29" fillId="5" borderId="20" applyAlignment="1" pivotButton="0" quotePrefix="0" xfId="2">
      <alignment horizontal="right" vertical="center"/>
    </xf>
    <xf numFmtId="164" fontId="29" fillId="5" borderId="1" applyAlignment="1" pivotButton="0" quotePrefix="0" xfId="2">
      <alignment vertical="center"/>
    </xf>
    <xf numFmtId="165" fontId="2" fillId="2" borderId="1" pivotButton="0" quotePrefix="0" xfId="5"/>
    <xf numFmtId="165" fontId="2" fillId="2" borderId="1" pivotButton="0" quotePrefix="0" xfId="1"/>
    <xf numFmtId="175" fontId="31" fillId="0" borderId="21" applyAlignment="1" pivotButton="0" quotePrefix="0" xfId="0">
      <alignment vertical="center"/>
    </xf>
    <xf numFmtId="164" fontId="21" fillId="0" borderId="21" applyAlignment="1" applyProtection="1" pivotButton="0" quotePrefix="0" xfId="2">
      <alignment horizontal="center" vertical="center"/>
      <protection locked="0" hidden="0"/>
    </xf>
    <xf numFmtId="0" fontId="0" fillId="0" borderId="24" pivotButton="0" quotePrefix="0" xfId="0"/>
    <xf numFmtId="0" fontId="0" fillId="0" borderId="25" pivotButton="0" quotePrefix="0" xfId="0"/>
    <xf numFmtId="164" fontId="1" fillId="2" borderId="1" applyProtection="1" pivotButton="0" quotePrefix="0" xfId="2">
      <protection locked="0" hidden="0"/>
    </xf>
    <xf numFmtId="164" fontId="0" fillId="0" borderId="0" pivotButton="0" quotePrefix="0" xfId="0"/>
    <xf numFmtId="165" fontId="21" fillId="0" borderId="21" applyAlignment="1" pivotButton="0" quotePrefix="0" xfId="5">
      <alignment horizontal="center" vertical="center"/>
    </xf>
    <xf numFmtId="165" fontId="21" fillId="0" borderId="21" applyAlignment="1" pivotButton="0" quotePrefix="0" xfId="1">
      <alignment horizontal="center" vertical="center"/>
    </xf>
    <xf numFmtId="164" fontId="21" fillId="0" borderId="21" applyAlignment="1" applyProtection="1" pivotButton="0" quotePrefix="0" xfId="2">
      <alignment horizontal="left" vertical="center"/>
      <protection locked="0" hidden="0"/>
    </xf>
    <xf numFmtId="0" fontId="16" fillId="3" borderId="26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21" fillId="0" borderId="27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173" fontId="21" fillId="0" borderId="0" applyAlignment="1" applyProtection="1" pivotButton="0" quotePrefix="0" xfId="0">
      <alignment horizontal="center" vertical="center"/>
      <protection locked="0" hidden="0"/>
    </xf>
    <xf numFmtId="171" fontId="21" fillId="0" borderId="7" applyAlignment="1" applyProtection="1" pivotButton="0" quotePrefix="0" xfId="0">
      <alignment vertical="center"/>
      <protection locked="0" hidden="0"/>
    </xf>
    <xf numFmtId="172" fontId="19" fillId="5" borderId="0" applyAlignment="1" pivotButton="0" quotePrefix="0" xfId="0">
      <alignment horizontal="center" vertical="center"/>
    </xf>
    <xf numFmtId="170" fontId="19" fillId="5" borderId="7" applyAlignment="1" pivotButton="0" quotePrefix="0" xfId="0">
      <alignment vertical="center"/>
    </xf>
    <xf numFmtId="167" fontId="17" fillId="0" borderId="11" applyAlignment="1" pivotButton="0" quotePrefix="0" xfId="0">
      <alignment horizontal="center" vertical="center"/>
    </xf>
    <xf numFmtId="172" fontId="17" fillId="0" borderId="11" applyAlignment="1" pivotButton="0" quotePrefix="0" xfId="0">
      <alignment horizontal="center" vertical="center"/>
    </xf>
    <xf numFmtId="173" fontId="17" fillId="0" borderId="12" applyAlignment="1" pivotButton="0" quotePrefix="0" xfId="2">
      <alignment horizontal="center" vertical="center"/>
    </xf>
    <xf numFmtId="172" fontId="19" fillId="5" borderId="0" applyAlignment="1" pivotButton="0" quotePrefix="0" xfId="0">
      <alignment vertical="center"/>
    </xf>
    <xf numFmtId="173" fontId="33" fillId="0" borderId="12" applyAlignment="1" pivotButton="0" quotePrefix="0" xfId="2">
      <alignment horizontal="center" vertical="center"/>
    </xf>
    <xf numFmtId="0" fontId="0" fillId="0" borderId="4" pivotButton="0" quotePrefix="0" xfId="0"/>
    <xf numFmtId="0" fontId="7" fillId="6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73" fontId="8" fillId="6" borderId="16" applyAlignment="1" pivotButton="0" quotePrefix="0" xfId="2">
      <alignment vertical="center"/>
    </xf>
  </cellXfs>
  <cellStyles count="6">
    <cellStyle name="Normal" xfId="0" builtinId="0"/>
    <cellStyle name="Vírgula" xfId="1" builtinId="3"/>
    <cellStyle name="Moeda" xfId="2" builtinId="4"/>
    <cellStyle name="Normal 7" xfId="3"/>
    <cellStyle name="Moeda 2" xfId="4"/>
    <cellStyle name="Separador de milhares 2 2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P32"/>
  <sheetViews>
    <sheetView workbookViewId="0">
      <selection activeCell="A8" sqref="A8"/>
    </sheetView>
  </sheetViews>
  <sheetFormatPr baseColWidth="8" defaultColWidth="8.88671875" defaultRowHeight="14.4"/>
  <cols>
    <col width="26.6640625" customWidth="1" min="1" max="1"/>
    <col width="20.6640625" customWidth="1" min="2" max="4"/>
    <col width="9.109375" customWidth="1" min="5" max="6"/>
    <col width="9.88671875" bestFit="1" customWidth="1" min="7" max="7"/>
    <col width="9.109375" customWidth="1" min="8" max="8"/>
    <col width="13.33203125" bestFit="1" customWidth="1" min="9" max="9"/>
    <col width="9.109375" customWidth="1" min="10" max="16"/>
    <col width="8.88671875" customWidth="1" style="6" min="17" max="16384"/>
  </cols>
  <sheetData>
    <row r="1" ht="38.25" customHeight="1">
      <c r="A1" s="50" t="n"/>
      <c r="B1" s="85" t="inlineStr">
        <is>
          <t>CUSTO OPERACIONAL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>
      <c r="A2" s="9" t="n"/>
      <c r="B2" s="10" t="n"/>
      <c r="C2" s="11" t="inlineStr">
        <is>
          <t xml:space="preserve">DATA </t>
        </is>
      </c>
      <c r="D2" s="104">
        <f>TODAY()</f>
        <v/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 ht="15.6" customHeight="1">
      <c r="A3" s="87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84" t="inlineStr">
        <is>
          <t>Cliente: OLS OFFSHORE LINK SAT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84" t="inlineStr">
        <is>
          <t>Escopo: X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84" t="inlineStr">
        <is>
          <t>Estado: Rio de Janeiro</t>
        </is>
      </c>
      <c r="C6" s="84" t="inlineStr">
        <is>
          <t>Cidade: Macaé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84" t="inlineStr">
        <is>
          <t>Nº do Projeto: X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4" t="inlineStr">
        <is>
          <t>Solicitante: Fabio N Dutra_Escritório de Projetos</t>
        </is>
      </c>
      <c r="B8" s="84" t="n"/>
      <c r="C8" s="84" t="n"/>
      <c r="D8" s="8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84" t="n"/>
      <c r="B9" s="86" t="inlineStr">
        <is>
          <t>Recursos Alocados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56" t="inlineStr">
        <is>
          <t>Quant designada</t>
        </is>
      </c>
      <c r="B10" s="56" t="inlineStr">
        <is>
          <t>HUB</t>
        </is>
      </c>
      <c r="C10" s="56" t="inlineStr">
        <is>
          <t>TI</t>
        </is>
      </c>
      <c r="D10" s="56" t="inlineStr">
        <is>
          <t>OPERAÇÕES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4" t="n">
        <v>1</v>
      </c>
      <c r="B11" s="54" t="n">
        <v>0</v>
      </c>
      <c r="C11" s="54" t="n">
        <v>0</v>
      </c>
      <c r="D11" s="55" t="n">
        <v>0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8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58" t="inlineStr">
        <is>
          <t>Custo Total</t>
        </is>
      </c>
      <c r="B13" s="105">
        <f>A17+B17+C17</f>
        <v/>
      </c>
      <c r="C13" s="84" t="n"/>
      <c r="D13" s="8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8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84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56" t="inlineStr">
        <is>
          <t>EQUIPAMENTOS</t>
        </is>
      </c>
      <c r="B16" s="56" t="inlineStr">
        <is>
          <t>MATERIAIS</t>
        </is>
      </c>
      <c r="C16" s="56" t="inlineStr">
        <is>
          <t>M.O_LOGISTÍCA</t>
        </is>
      </c>
      <c r="D16" s="56" t="inlineStr">
        <is>
          <t>TOTAL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106">
        <f>Equipamentos!E2</f>
        <v/>
      </c>
      <c r="B17" s="106">
        <f>Materiais!E2</f>
        <v/>
      </c>
      <c r="C17" s="107">
        <f>'M.O.'!F54</f>
        <v/>
      </c>
      <c r="D17" s="106">
        <f>A17+B17+C17</f>
        <v/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108" t="n"/>
      <c r="B18" s="109" t="n"/>
      <c r="C18" s="109" t="n"/>
      <c r="D18" s="109" t="n"/>
      <c r="E18" s="6" t="n"/>
      <c r="F18" s="6" t="n"/>
      <c r="G18" s="110" t="n"/>
      <c r="H18" s="6" t="n"/>
      <c r="I18" s="111" t="n"/>
      <c r="J18" s="6" t="n"/>
      <c r="K18" s="6" t="n"/>
      <c r="L18" s="6" t="n"/>
      <c r="M18" s="6" t="n"/>
      <c r="N18" s="6" t="n"/>
      <c r="O18" s="6" t="n"/>
      <c r="P18" s="6" t="n"/>
    </row>
    <row r="19">
      <c r="A19" s="7" t="n"/>
      <c r="B19" s="7" t="n"/>
      <c r="C19" s="7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7" t="n"/>
      <c r="B20" s="7" t="n"/>
      <c r="C20" s="7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7" t="n"/>
      <c r="B21" s="7" t="n"/>
      <c r="C21" s="7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7" t="n"/>
      <c r="B22" s="7" t="n"/>
      <c r="C22" s="7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8" t="n"/>
      <c r="B23" s="7" t="n"/>
      <c r="C23" s="7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7" t="n"/>
      <c r="B24" s="7" t="n"/>
      <c r="C24" s="7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7" t="n"/>
      <c r="B25" s="7" t="n"/>
      <c r="C25" s="7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7" t="n"/>
      <c r="B26" s="7" t="n"/>
      <c r="C26" s="7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7" t="n"/>
      <c r="B27" s="7" t="n"/>
      <c r="C27" s="7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7" t="n"/>
      <c r="B28" s="7" t="n"/>
      <c r="C28" s="7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7" t="n"/>
      <c r="B29" s="7" t="n"/>
      <c r="C29" s="7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7" t="n"/>
      <c r="B30" s="7" t="n"/>
      <c r="C30" s="7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7" t="n"/>
      <c r="B31" s="7" t="n"/>
      <c r="C31" s="7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7" t="n"/>
      <c r="B32" s="7" t="n"/>
      <c r="C32" s="7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</sheetData>
  <mergeCells count="11">
    <mergeCell ref="A5:D5"/>
    <mergeCell ref="C6:D6"/>
    <mergeCell ref="A12:D12"/>
    <mergeCell ref="B1:D1"/>
    <mergeCell ref="A4:D4"/>
    <mergeCell ref="A3:D3"/>
    <mergeCell ref="A15:D15"/>
    <mergeCell ref="B9:D9"/>
    <mergeCell ref="A7:D7"/>
    <mergeCell ref="A6:B6"/>
    <mergeCell ref="A14:D14"/>
  </mergeCells>
  <pageMargins left="0.5118110236220472" right="0.5118110236220472" top="0.7874015748031497" bottom="0.7874015748031497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K127"/>
  <sheetViews>
    <sheetView zoomScaleNormal="100" workbookViewId="0">
      <selection activeCell="A1" sqref="A1:E2"/>
    </sheetView>
  </sheetViews>
  <sheetFormatPr baseColWidth="8" defaultRowHeight="14.4"/>
  <cols>
    <col width="15.5546875" bestFit="1" customWidth="1" min="1" max="1"/>
    <col width="63.44140625" bestFit="1" customWidth="1" min="2" max="2"/>
    <col width="12.5546875" bestFit="1" customWidth="1" min="3" max="3"/>
    <col width="15.44140625" bestFit="1" customWidth="1" min="4" max="4"/>
    <col width="16.109375" bestFit="1" customWidth="1" min="5" max="5"/>
    <col width="31.6640625" bestFit="1" customWidth="1" min="7" max="7"/>
    <col width="10.109375" bestFit="1" customWidth="1" min="8" max="8"/>
    <col width="10.33203125" bestFit="1" customWidth="1" min="9" max="9"/>
  </cols>
  <sheetData>
    <row r="1" ht="15.6" customHeight="1">
      <c r="A1" s="92" t="inlineStr">
        <is>
          <t xml:space="preserve">Material Entregue </t>
        </is>
      </c>
      <c r="C1" s="90" t="n"/>
      <c r="E1" s="112" t="n"/>
    </row>
    <row r="2" ht="18" customHeight="1">
      <c r="A2" s="113" t="n"/>
      <c r="B2" s="113" t="n"/>
      <c r="C2" s="62" t="n"/>
      <c r="D2" s="114" t="inlineStr">
        <is>
          <t>Custo Total</t>
        </is>
      </c>
      <c r="E2" s="115">
        <f>SUM(E4:E126)</f>
        <v/>
      </c>
    </row>
    <row r="3">
      <c r="A3" s="1" t="inlineStr">
        <is>
          <t>Item</t>
        </is>
      </c>
      <c r="B3" s="1" t="inlineStr">
        <is>
          <t>Abraçadeira plastica (P,M,G)</t>
        </is>
      </c>
      <c r="C3" s="2" t="n">
        <v>90</v>
      </c>
      <c r="D3" s="116" t="inlineStr">
        <is>
          <t>unidade</t>
        </is>
      </c>
      <c r="E3" s="117" t="inlineStr">
        <is>
          <t>R$ TOTAL</t>
        </is>
      </c>
    </row>
    <row r="4" ht="15.6" customFormat="1" customHeight="1" s="79">
      <c r="A4" s="61" t="inlineStr">
        <is>
          <t>OLS_MAT_0001</t>
        </is>
      </c>
      <c r="B4" s="75" t="inlineStr">
        <is>
          <t>Cabo alimentação 3x2,5mm</t>
        </is>
      </c>
      <c r="C4" s="76" t="n">
        <v>50</v>
      </c>
      <c r="D4" s="118" t="n"/>
      <c r="E4" s="119">
        <f>C4*D4</f>
        <v/>
      </c>
      <c r="F4" s="89" t="n"/>
      <c r="G4" s="120" t="n"/>
      <c r="H4" s="121" t="n"/>
      <c r="I4" s="89" t="n"/>
      <c r="J4" s="121" t="n"/>
      <c r="K4" s="89" t="n"/>
    </row>
    <row r="5" ht="15.6" customFormat="1" customHeight="1" s="79">
      <c r="A5" s="61" t="inlineStr">
        <is>
          <t>OLS_MAT_0002</t>
        </is>
      </c>
      <c r="B5" s="75" t="inlineStr">
        <is>
          <t>Cabo de rede cat6 LSZH</t>
        </is>
      </c>
      <c r="C5" s="76" t="n">
        <v>2</v>
      </c>
      <c r="D5" s="118" t="n"/>
      <c r="E5" s="119">
        <f>C5*D5</f>
        <v/>
      </c>
      <c r="F5" s="89" t="n"/>
      <c r="G5" s="120" t="n"/>
      <c r="H5" s="121" t="n"/>
      <c r="I5" s="89" t="n"/>
      <c r="J5" s="121" t="n"/>
      <c r="K5" s="89" t="n"/>
    </row>
    <row r="6" ht="15.6" customFormat="1" customHeight="1" s="79">
      <c r="A6" s="61" t="inlineStr">
        <is>
          <t>OLS_MAT_0003</t>
        </is>
      </c>
      <c r="B6" s="75" t="inlineStr">
        <is>
          <t>Cabo de rede externo blindado</t>
        </is>
      </c>
      <c r="C6" s="76" t="n">
        <v>3</v>
      </c>
      <c r="D6" s="118" t="n"/>
      <c r="E6" s="119">
        <f>C6*D6</f>
        <v/>
      </c>
      <c r="F6" s="89" t="n"/>
      <c r="G6" s="120" t="n"/>
      <c r="H6" s="121" t="n"/>
      <c r="I6" s="89" t="n"/>
      <c r="J6" s="121" t="n"/>
      <c r="K6" s="89" t="n"/>
    </row>
    <row r="7" ht="15.6" customFormat="1" customHeight="1" s="79">
      <c r="A7" s="61" t="inlineStr">
        <is>
          <t>OLS_MAT_0004</t>
        </is>
      </c>
      <c r="B7" s="75" t="inlineStr">
        <is>
          <t>Cabo LMR400</t>
        </is>
      </c>
      <c r="C7" s="76" t="n">
        <v>100</v>
      </c>
      <c r="D7" s="118" t="n"/>
      <c r="E7" s="119">
        <f>C7*D7</f>
        <v/>
      </c>
      <c r="F7" s="89" t="n"/>
      <c r="G7" s="120" t="n"/>
      <c r="H7" s="121" t="n"/>
      <c r="I7" s="89" t="n"/>
      <c r="J7" s="121" t="n"/>
      <c r="K7" s="89" t="n"/>
    </row>
    <row r="8" ht="15.6" customFormat="1" customHeight="1" s="79">
      <c r="A8" s="61" t="inlineStr">
        <is>
          <t>OLS_MAT_0005</t>
        </is>
      </c>
      <c r="B8" s="75" t="inlineStr">
        <is>
          <t xml:space="preserve">Caixa soprepor RJ45 </t>
        </is>
      </c>
      <c r="C8" s="76" t="n">
        <v>20</v>
      </c>
      <c r="D8" s="118" t="n"/>
      <c r="E8" s="119">
        <f>C8*D8</f>
        <v/>
      </c>
      <c r="F8" s="89" t="n"/>
      <c r="G8" s="120" t="n"/>
      <c r="H8" s="121" t="n"/>
      <c r="I8" s="89" t="n"/>
      <c r="J8" s="121" t="n"/>
      <c r="K8" s="89" t="n"/>
    </row>
    <row r="9" ht="15.6" customFormat="1" customHeight="1" s="79">
      <c r="A9" s="61" t="inlineStr">
        <is>
          <t>OLS_MAT_0006</t>
        </is>
      </c>
      <c r="B9" s="75" t="inlineStr">
        <is>
          <t>Conector femea jack RJ45</t>
        </is>
      </c>
      <c r="C9" s="76" t="n">
        <v>30</v>
      </c>
      <c r="D9" s="118" t="n"/>
      <c r="E9" s="119">
        <f>C9*D9</f>
        <v/>
      </c>
      <c r="F9" s="89" t="n"/>
      <c r="G9" s="120" t="n"/>
      <c r="H9" s="121" t="n"/>
      <c r="I9" s="89" t="n"/>
      <c r="J9" s="121" t="n"/>
      <c r="K9" s="89" t="n"/>
    </row>
    <row r="10" ht="15.6" customFormat="1" customHeight="1" s="79">
      <c r="A10" s="61" t="inlineStr">
        <is>
          <t>OLS_MAT_0007</t>
        </is>
      </c>
      <c r="B10" s="75" t="inlineStr">
        <is>
          <t>Conector macho RJ45 cat6</t>
        </is>
      </c>
      <c r="C10" s="76" t="n">
        <v>50</v>
      </c>
      <c r="D10" s="118" t="n"/>
      <c r="E10" s="119">
        <f>C10*D10</f>
        <v/>
      </c>
      <c r="F10" s="89" t="n"/>
      <c r="G10" s="120" t="n"/>
      <c r="H10" s="121" t="n"/>
      <c r="I10" s="89" t="n"/>
      <c r="J10" s="121" t="n"/>
      <c r="K10" s="89" t="n"/>
    </row>
    <row r="11" ht="15.6" customFormat="1" customHeight="1" s="79">
      <c r="A11" s="61" t="inlineStr">
        <is>
          <t>OLS_MAT_0008</t>
        </is>
      </c>
      <c r="B11" s="75" t="inlineStr">
        <is>
          <t>Organizador de cabos</t>
        </is>
      </c>
      <c r="C11" s="76" t="n">
        <v>5</v>
      </c>
      <c r="D11" s="118" t="n"/>
      <c r="E11" s="119">
        <f>C11*D11</f>
        <v/>
      </c>
      <c r="F11" s="89" t="n"/>
      <c r="G11" s="120" t="n"/>
      <c r="H11" s="121" t="n"/>
      <c r="I11" s="89" t="n"/>
      <c r="J11" s="121" t="n"/>
      <c r="K11" s="89" t="n"/>
    </row>
    <row r="12" ht="15.6" customFormat="1" customHeight="1" s="79">
      <c r="A12" s="61" t="inlineStr">
        <is>
          <t>OLS_MAT_0009</t>
        </is>
      </c>
      <c r="B12" s="75" t="inlineStr">
        <is>
          <t>Cx quadro 600x500x200mm</t>
        </is>
      </c>
      <c r="C12" s="76" t="n">
        <v>2</v>
      </c>
      <c r="D12" s="118" t="n"/>
      <c r="E12" s="119">
        <f>C12*D12</f>
        <v/>
      </c>
      <c r="F12" s="89" t="n"/>
      <c r="G12" s="120" t="n"/>
      <c r="H12" s="121" t="n"/>
      <c r="I12" s="89" t="n"/>
      <c r="J12" s="121" t="n"/>
      <c r="K12" s="89" t="n"/>
    </row>
    <row r="13" ht="15.6" customFormat="1" customHeight="1" s="79">
      <c r="A13" s="61" t="inlineStr">
        <is>
          <t>OLS_MAT_0010</t>
        </is>
      </c>
      <c r="B13" s="75" t="inlineStr">
        <is>
          <t>Cinta Galvanizada 210MM</t>
        </is>
      </c>
      <c r="C13" s="76" t="n">
        <v>4</v>
      </c>
      <c r="D13" s="118" t="n"/>
      <c r="E13" s="119">
        <f>C13*D13</f>
        <v/>
      </c>
      <c r="F13" s="89" t="n"/>
      <c r="G13" s="120" t="n"/>
      <c r="H13" s="121" t="n"/>
      <c r="I13" s="89" t="n"/>
      <c r="J13" s="121" t="n"/>
      <c r="K13" s="89" t="n"/>
    </row>
    <row r="14" ht="15.6" customFormat="1" customHeight="1" s="79">
      <c r="A14" s="61" t="inlineStr">
        <is>
          <t>OLS_MAT_0011</t>
        </is>
      </c>
      <c r="B14" s="75" t="inlineStr">
        <is>
          <t>Disjuntor 10A bivolt</t>
        </is>
      </c>
      <c r="C14" s="76" t="n">
        <v>2</v>
      </c>
      <c r="D14" s="118" t="n"/>
      <c r="E14" s="119">
        <f>C14*D14</f>
        <v/>
      </c>
      <c r="F14" s="89" t="n"/>
      <c r="G14" s="120" t="n"/>
      <c r="H14" s="121" t="n"/>
      <c r="I14" s="89" t="n"/>
      <c r="J14" s="121" t="n"/>
      <c r="K14" s="89" t="n"/>
    </row>
    <row r="15" ht="15.6" customFormat="1" customHeight="1" s="79">
      <c r="A15" s="61" t="inlineStr">
        <is>
          <t>OLS_MAT_0012</t>
        </is>
      </c>
      <c r="B15" s="75" t="inlineStr">
        <is>
          <t>Fita auto fusão</t>
        </is>
      </c>
      <c r="C15" s="76" t="n">
        <v>1</v>
      </c>
      <c r="D15" s="118" t="n"/>
      <c r="E15" s="119">
        <f>C15*D15</f>
        <v/>
      </c>
      <c r="F15" s="89" t="n"/>
      <c r="G15" s="120" t="n"/>
      <c r="H15" s="121" t="n"/>
      <c r="I15" s="89" t="n"/>
      <c r="J15" s="121" t="n"/>
      <c r="K15" s="89" t="n"/>
    </row>
    <row r="16" ht="15.6" customFormat="1" customHeight="1" s="79">
      <c r="A16" s="61" t="inlineStr">
        <is>
          <t>OLS_MAT_0013</t>
        </is>
      </c>
      <c r="B16" s="75" t="inlineStr">
        <is>
          <t>Fita isolante</t>
        </is>
      </c>
      <c r="C16" s="76" t="n">
        <v>1</v>
      </c>
      <c r="D16" s="118" t="n"/>
      <c r="E16" s="119">
        <f>C16*D16</f>
        <v/>
      </c>
      <c r="F16" s="89" t="n"/>
      <c r="G16" s="120" t="n"/>
      <c r="H16" s="121" t="n"/>
      <c r="I16" s="89" t="n"/>
      <c r="J16" s="121" t="n"/>
      <c r="K16" s="89" t="n"/>
    </row>
    <row r="17" ht="15.6" customFormat="1" customHeight="1" s="79">
      <c r="A17" s="61" t="inlineStr">
        <is>
          <t>OLS_MAT_0014</t>
        </is>
      </c>
      <c r="B17" s="75" t="inlineStr">
        <is>
          <t>Parafuso auto brocante</t>
        </is>
      </c>
      <c r="C17" s="76" t="n">
        <v>10</v>
      </c>
      <c r="D17" s="118" t="n"/>
      <c r="E17" s="119">
        <f>C17*D17</f>
        <v/>
      </c>
      <c r="F17" s="89" t="n"/>
      <c r="G17" s="120" t="n"/>
      <c r="H17" s="121" t="n"/>
      <c r="I17" s="89" t="n"/>
      <c r="J17" s="121" t="n"/>
      <c r="K17" s="89" t="n"/>
    </row>
    <row r="18" ht="15.6" customFormat="1" customHeight="1" s="79">
      <c r="A18" s="61" t="inlineStr">
        <is>
          <t>OLS_MAT_0015</t>
        </is>
      </c>
      <c r="B18" s="75" t="inlineStr">
        <is>
          <t xml:space="preserve">Patch cord 1,5m cat6 LSZH </t>
        </is>
      </c>
      <c r="C18" s="76" t="n">
        <v>30</v>
      </c>
      <c r="D18" s="118" t="n"/>
      <c r="E18" s="119">
        <f>C18*D18</f>
        <v/>
      </c>
      <c r="F18" s="89" t="n"/>
      <c r="G18" s="120" t="n"/>
      <c r="H18" s="121" t="n"/>
      <c r="I18" s="89" t="n"/>
      <c r="J18" s="121" t="n"/>
      <c r="K18" s="89" t="n"/>
    </row>
    <row r="19" ht="15.6" customFormat="1" customHeight="1" s="79">
      <c r="A19" s="61" t="inlineStr">
        <is>
          <t>OLS_MAT_0016</t>
        </is>
      </c>
      <c r="B19" s="75" t="inlineStr">
        <is>
          <t xml:space="preserve">Patch cord 2m cat6 LSZH </t>
        </is>
      </c>
      <c r="C19" s="76" t="n">
        <v>15</v>
      </c>
      <c r="D19" s="118" t="n"/>
      <c r="E19" s="119">
        <f>C19*D19</f>
        <v/>
      </c>
      <c r="F19" s="89" t="n"/>
      <c r="G19" s="120" t="n"/>
      <c r="H19" s="121" t="n"/>
      <c r="I19" s="89" t="n"/>
      <c r="J19" s="121" t="n"/>
      <c r="K19" s="89" t="n"/>
    </row>
    <row r="20" ht="15.6" customFormat="1" customHeight="1" s="79">
      <c r="A20" s="61" t="inlineStr">
        <is>
          <t>OLS_MAT_0017</t>
        </is>
      </c>
      <c r="B20" s="75" t="inlineStr">
        <is>
          <t>cabo console</t>
        </is>
      </c>
      <c r="C20" s="76" t="n">
        <v>1</v>
      </c>
      <c r="D20" s="118" t="n"/>
      <c r="E20" s="119">
        <f>C20*D20</f>
        <v/>
      </c>
      <c r="F20" s="89" t="n"/>
      <c r="G20" s="120" t="n"/>
      <c r="H20" s="121" t="n"/>
      <c r="I20" s="89" t="n"/>
      <c r="J20" s="121" t="n"/>
      <c r="K20" s="89" t="n"/>
    </row>
    <row r="21" ht="15.6" customFormat="1" customHeight="1" s="79">
      <c r="A21" s="61" t="inlineStr">
        <is>
          <t>OLS_MAT_0018</t>
        </is>
      </c>
      <c r="B21" s="75" t="inlineStr">
        <is>
          <t>Prensa cabo</t>
        </is>
      </c>
      <c r="C21" s="76" t="n">
        <v>8</v>
      </c>
      <c r="D21" s="118" t="n"/>
      <c r="E21" s="119">
        <f>C21*D21</f>
        <v/>
      </c>
      <c r="F21" s="89" t="n"/>
      <c r="G21" s="120" t="n"/>
      <c r="H21" s="121" t="n"/>
      <c r="I21" s="89" t="n"/>
      <c r="J21" s="121" t="n"/>
      <c r="K21" s="89" t="n"/>
    </row>
    <row r="22" ht="15.6" customFormat="1" customHeight="1" s="79">
      <c r="A22" s="61" t="inlineStr">
        <is>
          <t>OLS_MAT_0019</t>
        </is>
      </c>
      <c r="B22" s="75" t="inlineStr">
        <is>
          <t>Trilho disjuntor</t>
        </is>
      </c>
      <c r="C22" s="76" t="n">
        <v>1</v>
      </c>
      <c r="D22" s="118" t="n"/>
      <c r="E22" s="119">
        <f>C22*D22</f>
        <v/>
      </c>
      <c r="F22" s="89" t="n"/>
      <c r="G22" s="120" t="n"/>
      <c r="H22" s="121" t="n"/>
      <c r="I22" s="89" t="n"/>
      <c r="J22" s="121" t="n"/>
      <c r="K22" s="89" t="n"/>
    </row>
    <row r="23" ht="15.6" customFormat="1" customHeight="1" s="79">
      <c r="A23" s="61" t="inlineStr">
        <is>
          <t>OLS_MAT_0020</t>
        </is>
      </c>
      <c r="B23" s="75" t="inlineStr">
        <is>
          <t>Velcro</t>
        </is>
      </c>
      <c r="C23" s="76" t="n">
        <v>20</v>
      </c>
      <c r="D23" s="118" t="n"/>
      <c r="E23" s="119">
        <f>C23*D23</f>
        <v/>
      </c>
      <c r="F23" s="89" t="n"/>
      <c r="G23" s="120" t="n"/>
      <c r="H23" s="121" t="n"/>
      <c r="I23" s="89" t="n"/>
      <c r="J23" s="121" t="n"/>
      <c r="K23" s="89" t="n"/>
    </row>
    <row r="24" ht="15.6" customFormat="1" customHeight="1" s="79">
      <c r="A24" s="61" t="inlineStr">
        <is>
          <t>OLS_MAT_0021</t>
        </is>
      </c>
      <c r="B24" s="75" t="inlineStr">
        <is>
          <t>Régua tomada 12 posições</t>
        </is>
      </c>
      <c r="C24" s="76" t="n">
        <v>2</v>
      </c>
      <c r="D24" s="118" t="n"/>
      <c r="E24" s="119">
        <f>C24*D24</f>
        <v/>
      </c>
      <c r="F24" s="89" t="n"/>
      <c r="G24" s="120" t="n"/>
      <c r="H24" s="121" t="n"/>
      <c r="I24" s="89" t="n"/>
      <c r="J24" s="121" t="n"/>
      <c r="K24" s="89" t="n"/>
    </row>
    <row r="25" ht="15.6" customFormat="1" customHeight="1" s="79">
      <c r="A25" s="61" t="inlineStr">
        <is>
          <t>OLS_MAT_0022</t>
        </is>
      </c>
      <c r="B25" s="75" t="inlineStr">
        <is>
          <t>Bandeja rack 19"</t>
        </is>
      </c>
      <c r="C25" s="76" t="n">
        <v>4</v>
      </c>
      <c r="D25" s="118" t="n"/>
      <c r="E25" s="119">
        <f>C25*D25</f>
        <v/>
      </c>
      <c r="F25" s="89" t="n"/>
      <c r="G25" s="120" t="n"/>
      <c r="H25" s="121" t="n"/>
      <c r="I25" s="89" t="n"/>
      <c r="J25" s="121" t="n"/>
      <c r="K25" s="89" t="n"/>
    </row>
    <row r="26" ht="15.6" customFormat="1" customHeight="1" s="79">
      <c r="A26" s="61" t="inlineStr">
        <is>
          <t>OLS_MAT_0023</t>
        </is>
      </c>
      <c r="B26" s="75" t="inlineStr">
        <is>
          <t>Porca gaiola e parafuso</t>
        </is>
      </c>
      <c r="C26" s="76" t="n">
        <v>40</v>
      </c>
      <c r="D26" s="118" t="n"/>
      <c r="E26" s="119">
        <f>C26*D26</f>
        <v/>
      </c>
      <c r="F26" s="89" t="n"/>
      <c r="G26" s="120" t="n"/>
      <c r="H26" s="121" t="n"/>
      <c r="I26" s="89" t="n"/>
      <c r="J26" s="121" t="n"/>
      <c r="K26" s="89" t="n"/>
    </row>
    <row r="27" ht="15.6" customFormat="1" customHeight="1" s="79">
      <c r="A27" s="61" t="inlineStr">
        <is>
          <t>OLS_MAT_0024</t>
        </is>
      </c>
      <c r="B27" s="75" t="inlineStr">
        <is>
          <t>Cabo HDMI</t>
        </is>
      </c>
      <c r="C27" s="76" t="n">
        <v>4</v>
      </c>
      <c r="D27" s="118" t="n"/>
      <c r="E27" s="119">
        <f>C27*D27</f>
        <v/>
      </c>
      <c r="F27" s="89" t="n"/>
      <c r="G27" s="120" t="n"/>
      <c r="H27" s="121" t="n"/>
      <c r="I27" s="89" t="n"/>
      <c r="J27" s="121" t="n"/>
      <c r="K27" s="89" t="n"/>
    </row>
    <row r="28" ht="15.6" customFormat="1" customHeight="1" s="79">
      <c r="A28" s="61" t="inlineStr">
        <is>
          <t>OLS_MAT_0025</t>
        </is>
      </c>
      <c r="B28" s="75" t="inlineStr">
        <is>
          <t>Conector Nm LMR400</t>
        </is>
      </c>
      <c r="C28" s="76" t="n">
        <v>6</v>
      </c>
      <c r="D28" s="118" t="n"/>
      <c r="E28" s="119">
        <f>C28*D28</f>
        <v/>
      </c>
      <c r="F28" s="89" t="n"/>
      <c r="G28" s="120" t="n"/>
      <c r="H28" s="121" t="n"/>
      <c r="I28" s="89" t="n"/>
      <c r="J28" s="121" t="n"/>
      <c r="K28" s="89" t="n"/>
    </row>
    <row r="29" ht="15.6" customFormat="1" customHeight="1" s="79">
      <c r="A29" s="61" t="inlineStr">
        <is>
          <t>OLS_MAT_0026</t>
        </is>
      </c>
      <c r="B29" s="75" t="inlineStr">
        <is>
          <t>Cabo extensor RG-58 LTE</t>
        </is>
      </c>
      <c r="C29" s="76" t="n">
        <v>2</v>
      </c>
      <c r="D29" s="118" t="n"/>
      <c r="E29" s="119">
        <f>C29*D29</f>
        <v/>
      </c>
      <c r="F29" s="89" t="n"/>
      <c r="G29" s="120" t="n"/>
      <c r="H29" s="121" t="n"/>
      <c r="I29" s="89" t="n"/>
      <c r="J29" s="121" t="n"/>
      <c r="K29" s="89" t="n"/>
    </row>
    <row r="30" ht="21" customFormat="1" customHeight="1" s="79">
      <c r="A30" s="61" t="inlineStr">
        <is>
          <t>OLS_MAT_0027</t>
        </is>
      </c>
      <c r="B30" s="75" t="inlineStr">
        <is>
          <t>Grampo de Fixação</t>
        </is>
      </c>
      <c r="C30" s="76" t="n">
        <v>4</v>
      </c>
      <c r="D30" s="118" t="n"/>
      <c r="E30" s="119">
        <f>C30*D30</f>
        <v/>
      </c>
      <c r="F30" s="89" t="n"/>
      <c r="G30" s="120" t="n"/>
      <c r="H30" s="121" t="n"/>
      <c r="I30" s="89" t="n"/>
      <c r="J30" s="121" t="n"/>
      <c r="K30" s="89" t="n"/>
    </row>
    <row r="31" ht="15.6" customFormat="1" customHeight="1" s="79">
      <c r="A31" s="61" t="inlineStr">
        <is>
          <t>OLS_MAT_0028</t>
        </is>
      </c>
      <c r="B31" s="75" t="inlineStr">
        <is>
          <t>Refil etiquetadora Brother</t>
        </is>
      </c>
      <c r="C31" s="76" t="n">
        <v>1</v>
      </c>
      <c r="D31" s="118" t="n"/>
      <c r="E31" s="119">
        <f>C31*D31</f>
        <v/>
      </c>
      <c r="F31" s="89" t="n"/>
      <c r="G31" s="120" t="n"/>
      <c r="H31" s="121" t="n"/>
      <c r="I31" s="89" t="n"/>
      <c r="J31" s="121" t="n"/>
      <c r="K31" s="89" t="n"/>
    </row>
    <row r="32" ht="15.6" customFormat="1" customHeight="1" s="79">
      <c r="A32" s="61" t="inlineStr">
        <is>
          <t>OLS_MAT_0029</t>
        </is>
      </c>
      <c r="B32" s="75" t="inlineStr">
        <is>
          <t>Bastão de cilicone</t>
        </is>
      </c>
      <c r="C32" s="76" t="n">
        <v>1</v>
      </c>
      <c r="D32" s="118" t="n"/>
      <c r="E32" s="119">
        <f>C32*D32</f>
        <v/>
      </c>
      <c r="F32" s="89" t="n"/>
      <c r="G32" s="120" t="n"/>
      <c r="H32" s="121" t="n"/>
      <c r="I32" s="89" t="n"/>
      <c r="J32" s="121" t="n"/>
      <c r="K32" s="89" t="n"/>
    </row>
    <row r="33" ht="15.6" customFormat="1" customHeight="1" s="79">
      <c r="A33" s="61" t="inlineStr">
        <is>
          <t>OLS_MAT_0030</t>
        </is>
      </c>
      <c r="B33" s="75" t="n"/>
      <c r="C33" s="76" t="n">
        <v>0</v>
      </c>
      <c r="D33" s="118" t="n"/>
      <c r="E33" s="119">
        <f>C33*D33</f>
        <v/>
      </c>
      <c r="F33" s="89" t="n"/>
      <c r="G33" s="120" t="n"/>
      <c r="H33" s="121" t="n"/>
      <c r="I33" s="89" t="n"/>
      <c r="J33" s="121" t="n"/>
      <c r="K33" s="89" t="n"/>
    </row>
    <row r="34" ht="15.6" customHeight="1">
      <c r="A34" s="61" t="inlineStr">
        <is>
          <t>OLS_MAT_0031</t>
        </is>
      </c>
      <c r="B34" s="75" t="n"/>
      <c r="C34" s="76" t="n">
        <v>0</v>
      </c>
      <c r="D34" s="118" t="n"/>
      <c r="E34" s="119">
        <f>C34*D34</f>
        <v/>
      </c>
    </row>
    <row r="35" ht="15.6" customHeight="1">
      <c r="A35" s="61" t="inlineStr">
        <is>
          <t>OLS_MAT_0032</t>
        </is>
      </c>
      <c r="B35" s="75" t="n"/>
      <c r="C35" s="76" t="n">
        <v>0</v>
      </c>
      <c r="D35" s="118" t="n"/>
      <c r="E35" s="119">
        <f>C35*D35</f>
        <v/>
      </c>
    </row>
    <row r="36" ht="15.6" customHeight="1">
      <c r="A36" s="61" t="inlineStr">
        <is>
          <t>OLS_MAT_0033</t>
        </is>
      </c>
      <c r="B36" s="75" t="n"/>
      <c r="C36" s="76" t="n">
        <v>0</v>
      </c>
      <c r="D36" s="118" t="n"/>
      <c r="E36" s="119">
        <f>C36*D36</f>
        <v/>
      </c>
    </row>
    <row r="37" ht="15.6" customHeight="1">
      <c r="A37" s="61" t="inlineStr">
        <is>
          <t>OLS_MAT_0034</t>
        </is>
      </c>
      <c r="B37" s="75" t="n"/>
      <c r="C37" s="76" t="n">
        <v>0</v>
      </c>
      <c r="D37" s="118" t="n"/>
      <c r="E37" s="119">
        <f>C37*D37</f>
        <v/>
      </c>
    </row>
    <row r="38" ht="15.6" customHeight="1">
      <c r="A38" s="61" t="inlineStr">
        <is>
          <t>OLS_MAT_0035</t>
        </is>
      </c>
      <c r="B38" s="75" t="n"/>
      <c r="C38" s="76" t="n">
        <v>0</v>
      </c>
      <c r="D38" s="118" t="n"/>
      <c r="E38" s="119">
        <f>C38*D38</f>
        <v/>
      </c>
    </row>
    <row r="39" ht="15.6" customHeight="1">
      <c r="A39" s="61" t="inlineStr">
        <is>
          <t>OLS_MAT_0036</t>
        </is>
      </c>
      <c r="B39" s="75" t="n"/>
      <c r="C39" s="76" t="n">
        <v>0</v>
      </c>
      <c r="D39" s="118" t="n"/>
      <c r="E39" s="122" t="n"/>
    </row>
    <row r="40" ht="15.6" customHeight="1">
      <c r="A40" s="61" t="inlineStr">
        <is>
          <t>OLS_MAT_0037</t>
        </is>
      </c>
      <c r="B40" s="75" t="n"/>
      <c r="C40" s="76" t="n">
        <v>0</v>
      </c>
      <c r="D40" s="118" t="n"/>
      <c r="E40" s="122" t="n"/>
    </row>
    <row r="41" ht="15.6" customHeight="1">
      <c r="A41" s="61" t="inlineStr">
        <is>
          <t>OLS_MAT_0038</t>
        </is>
      </c>
      <c r="B41" s="75" t="n"/>
      <c r="C41" s="76" t="n">
        <v>0</v>
      </c>
      <c r="D41" s="118" t="n"/>
      <c r="E41" s="122" t="n"/>
    </row>
    <row r="42" ht="15.6" customHeight="1">
      <c r="A42" s="61" t="inlineStr">
        <is>
          <t>OLS_MAT_0039</t>
        </is>
      </c>
      <c r="B42" s="75" t="n"/>
      <c r="C42" s="76" t="n">
        <v>0</v>
      </c>
      <c r="D42" s="118" t="n"/>
      <c r="E42" s="122" t="n"/>
    </row>
    <row r="43" ht="15.6" customHeight="1">
      <c r="A43" s="61" t="inlineStr">
        <is>
          <t>OLS_MAT_0040</t>
        </is>
      </c>
      <c r="B43" s="75" t="n"/>
      <c r="C43" s="76" t="n">
        <v>0</v>
      </c>
      <c r="D43" s="118" t="n"/>
      <c r="E43" s="122" t="n"/>
    </row>
    <row r="44" ht="15.6" customHeight="1">
      <c r="A44" s="61" t="inlineStr">
        <is>
          <t>OLS_MAT_0041</t>
        </is>
      </c>
      <c r="B44" s="75" t="n"/>
      <c r="C44" s="76" t="n">
        <v>0</v>
      </c>
      <c r="D44" s="118" t="n"/>
      <c r="E44" s="122" t="n"/>
    </row>
    <row r="45" ht="15.6" customHeight="1">
      <c r="A45" s="61" t="inlineStr">
        <is>
          <t>OLS_MAT_0042</t>
        </is>
      </c>
      <c r="B45" s="75" t="n"/>
      <c r="C45" s="76" t="n">
        <v>0</v>
      </c>
      <c r="D45" s="118" t="n"/>
      <c r="E45" s="122" t="n"/>
    </row>
    <row r="46" ht="15.6" customHeight="1">
      <c r="A46" s="61" t="inlineStr">
        <is>
          <t>OLS_MAT_0043</t>
        </is>
      </c>
      <c r="B46" s="75" t="n"/>
      <c r="C46" s="76" t="n">
        <v>0</v>
      </c>
      <c r="D46" s="118" t="n"/>
      <c r="E46" s="122" t="n"/>
    </row>
    <row r="47" ht="15.6" customHeight="1">
      <c r="A47" s="61" t="inlineStr">
        <is>
          <t>OLS_MAT_0044</t>
        </is>
      </c>
      <c r="B47" s="122" t="n"/>
      <c r="C47" s="76" t="n">
        <v>0</v>
      </c>
      <c r="D47" s="118" t="n"/>
      <c r="E47" s="122" t="n"/>
    </row>
    <row r="48" ht="15.6" customHeight="1">
      <c r="A48" s="61" t="inlineStr">
        <is>
          <t>OLS_MAT_0045</t>
        </is>
      </c>
      <c r="B48" s="122" t="n"/>
      <c r="C48" s="76" t="n">
        <v>0</v>
      </c>
      <c r="D48" s="118" t="n"/>
      <c r="E48" s="122" t="n"/>
    </row>
    <row r="49" ht="15.6" customHeight="1">
      <c r="A49" s="61" t="inlineStr">
        <is>
          <t>OLS_MAT_0046</t>
        </is>
      </c>
      <c r="B49" s="122" t="n"/>
      <c r="C49" s="76" t="n">
        <v>0</v>
      </c>
      <c r="D49" s="118" t="n"/>
      <c r="E49" s="122" t="n"/>
    </row>
    <row r="50" ht="15.6" customHeight="1">
      <c r="A50" s="61" t="inlineStr">
        <is>
          <t>OLS_MAT_0047</t>
        </is>
      </c>
      <c r="B50" s="122" t="n"/>
      <c r="C50" s="76" t="n">
        <v>0</v>
      </c>
      <c r="D50" s="118" t="n"/>
      <c r="E50" s="122" t="n"/>
    </row>
    <row r="51" ht="15.6" customHeight="1">
      <c r="A51" s="61" t="inlineStr">
        <is>
          <t>OLS_MAT_0048</t>
        </is>
      </c>
      <c r="B51" s="122" t="n"/>
      <c r="C51" s="20" t="n"/>
      <c r="D51" s="118" t="n"/>
      <c r="E51" s="122" t="n"/>
    </row>
    <row r="52" ht="15.6" customHeight="1">
      <c r="A52" s="61" t="inlineStr">
        <is>
          <t>OLS_MAT_0049</t>
        </is>
      </c>
      <c r="B52" s="122" t="n"/>
      <c r="C52" s="20" t="n"/>
      <c r="D52" s="118" t="n"/>
      <c r="E52" s="122" t="n"/>
    </row>
    <row r="53" ht="15.6" customHeight="1">
      <c r="A53" s="61" t="inlineStr">
        <is>
          <t>OLS_MAT_0050</t>
        </is>
      </c>
      <c r="B53" s="122" t="n"/>
      <c r="C53" s="20" t="n"/>
      <c r="D53" s="118" t="n"/>
      <c r="E53" s="122" t="n"/>
    </row>
    <row r="54" ht="15.6" customHeight="1">
      <c r="A54" s="61" t="inlineStr">
        <is>
          <t>OLS_MAT_0051</t>
        </is>
      </c>
      <c r="B54" s="122" t="n"/>
      <c r="C54" s="20" t="n"/>
      <c r="D54" s="118" t="n"/>
      <c r="E54" s="122" t="n"/>
    </row>
    <row r="55" ht="15.6" customHeight="1">
      <c r="A55" s="61" t="inlineStr">
        <is>
          <t>OLS_MAT_0052</t>
        </is>
      </c>
      <c r="B55" s="122" t="n"/>
      <c r="C55" s="20" t="n"/>
      <c r="D55" s="118" t="n"/>
      <c r="E55" s="122" t="n"/>
    </row>
    <row r="56" ht="15.6" customHeight="1">
      <c r="A56" s="61" t="inlineStr">
        <is>
          <t>OLS_MAT_0053</t>
        </is>
      </c>
      <c r="B56" s="122" t="n"/>
      <c r="C56" s="20" t="n"/>
      <c r="D56" s="118" t="n"/>
      <c r="E56" s="122" t="n"/>
    </row>
    <row r="57" ht="15.6" customHeight="1">
      <c r="A57" s="61" t="inlineStr">
        <is>
          <t>OLS_MAT_0054</t>
        </is>
      </c>
      <c r="B57" s="122" t="n"/>
      <c r="C57" s="20" t="n"/>
      <c r="D57" s="118" t="n"/>
      <c r="E57" s="122" t="n"/>
    </row>
    <row r="58" ht="15.6" customHeight="1">
      <c r="A58" s="61" t="inlineStr">
        <is>
          <t>OLS_MAT_0055</t>
        </is>
      </c>
      <c r="B58" s="122" t="n"/>
      <c r="C58" s="20" t="n"/>
      <c r="D58" s="118" t="n"/>
      <c r="E58" s="122" t="n"/>
    </row>
    <row r="59" ht="15.6" customHeight="1">
      <c r="A59" s="61" t="inlineStr">
        <is>
          <t>OLS_MAT_0056</t>
        </is>
      </c>
      <c r="B59" s="122" t="n"/>
      <c r="C59" s="20" t="n"/>
      <c r="D59" s="118" t="n"/>
      <c r="E59" s="122" t="n"/>
    </row>
    <row r="60" ht="15.6" customHeight="1">
      <c r="A60" s="61" t="inlineStr">
        <is>
          <t>OLS_MAT_0057</t>
        </is>
      </c>
      <c r="B60" s="122" t="n"/>
      <c r="C60" s="20" t="n"/>
      <c r="D60" s="118" t="n"/>
      <c r="E60" s="122" t="n"/>
    </row>
    <row r="61" ht="15.6" customHeight="1">
      <c r="A61" s="61" t="inlineStr">
        <is>
          <t>OLS_MAT_0058</t>
        </is>
      </c>
      <c r="B61" s="122" t="n"/>
      <c r="C61" s="20" t="n"/>
      <c r="D61" s="118" t="n"/>
      <c r="E61" s="122" t="n"/>
    </row>
    <row r="62" ht="15.6" customHeight="1">
      <c r="A62" s="61" t="inlineStr">
        <is>
          <t>OLS_MAT_0059</t>
        </is>
      </c>
      <c r="B62" s="122" t="n"/>
      <c r="C62" s="20" t="n"/>
      <c r="D62" s="118" t="n"/>
      <c r="E62" s="122" t="n"/>
    </row>
    <row r="63" ht="15.6" customHeight="1">
      <c r="A63" s="61" t="inlineStr">
        <is>
          <t>OLS_MAT_0060</t>
        </is>
      </c>
      <c r="B63" s="122" t="n"/>
      <c r="C63" s="20" t="n"/>
      <c r="D63" s="118" t="n"/>
      <c r="E63" s="122" t="n"/>
    </row>
    <row r="64" ht="15.6" customHeight="1">
      <c r="A64" s="61" t="inlineStr">
        <is>
          <t>OLS_MAT_0061</t>
        </is>
      </c>
      <c r="B64" s="122" t="n"/>
      <c r="C64" s="20" t="n"/>
      <c r="D64" s="118" t="n"/>
      <c r="E64" s="122" t="n"/>
    </row>
    <row r="65" ht="15.6" customHeight="1">
      <c r="A65" s="61" t="inlineStr">
        <is>
          <t>OLS_MAT_0062</t>
        </is>
      </c>
      <c r="B65" s="122" t="n"/>
      <c r="C65" s="20" t="n"/>
      <c r="D65" s="118" t="n"/>
      <c r="E65" s="122" t="n"/>
    </row>
    <row r="66" ht="15.6" customHeight="1">
      <c r="A66" s="61" t="inlineStr">
        <is>
          <t>OLS_MAT_0063</t>
        </is>
      </c>
      <c r="B66" s="122" t="n"/>
      <c r="C66" s="20" t="n"/>
      <c r="D66" s="118" t="n"/>
      <c r="E66" s="122" t="n"/>
    </row>
    <row r="67" ht="15.6" customHeight="1">
      <c r="A67" s="61" t="inlineStr">
        <is>
          <t>OLS_MAT_0064</t>
        </is>
      </c>
      <c r="B67" s="122" t="n"/>
      <c r="C67" s="20" t="n"/>
      <c r="D67" s="118" t="n"/>
      <c r="E67" s="122" t="n"/>
    </row>
    <row r="68" ht="15.6" customHeight="1">
      <c r="A68" s="61" t="inlineStr">
        <is>
          <t>OLS_MAT_0065</t>
        </is>
      </c>
      <c r="B68" s="122" t="n"/>
      <c r="C68" s="20" t="n"/>
      <c r="D68" s="118" t="n"/>
      <c r="E68" s="122" t="n"/>
    </row>
    <row r="69" ht="15.6" customHeight="1">
      <c r="A69" s="61" t="inlineStr">
        <is>
          <t>OLS_MAT_0066</t>
        </is>
      </c>
      <c r="B69" s="122" t="n"/>
      <c r="C69" s="20" t="n"/>
      <c r="D69" s="118" t="n"/>
      <c r="E69" s="122" t="n"/>
    </row>
    <row r="70" ht="15.6" customHeight="1">
      <c r="A70" s="61" t="inlineStr">
        <is>
          <t>OLS_MAT_0067</t>
        </is>
      </c>
      <c r="B70" s="122" t="n"/>
      <c r="C70" s="20" t="n"/>
      <c r="D70" s="118" t="n"/>
      <c r="E70" s="122" t="n"/>
    </row>
    <row r="71" ht="15.6" customHeight="1">
      <c r="A71" s="61" t="inlineStr">
        <is>
          <t>OLS_MAT_0068</t>
        </is>
      </c>
      <c r="B71" s="122" t="n"/>
      <c r="C71" s="20" t="n"/>
      <c r="D71" s="118" t="n"/>
      <c r="E71" s="122" t="n"/>
    </row>
    <row r="72" ht="15.6" customHeight="1">
      <c r="A72" s="61" t="inlineStr">
        <is>
          <t>OLS_MAT_0069</t>
        </is>
      </c>
      <c r="B72" s="122" t="n"/>
      <c r="C72" s="20" t="n"/>
      <c r="D72" s="118" t="n"/>
      <c r="E72" s="122" t="n"/>
    </row>
    <row r="73" ht="15.6" customHeight="1">
      <c r="A73" s="61" t="inlineStr">
        <is>
          <t>OLS_MAT_0070</t>
        </is>
      </c>
      <c r="B73" s="122" t="n"/>
      <c r="C73" s="20" t="n"/>
      <c r="D73" s="118" t="n"/>
      <c r="E73" s="122" t="n"/>
    </row>
    <row r="74" ht="15.6" customHeight="1">
      <c r="A74" s="61" t="inlineStr">
        <is>
          <t>OLS_MAT_0071</t>
        </is>
      </c>
      <c r="B74" s="122" t="n"/>
      <c r="C74" s="20" t="n"/>
      <c r="D74" s="118" t="n"/>
      <c r="E74" s="122" t="n"/>
    </row>
    <row r="75" ht="15.6" customHeight="1">
      <c r="A75" s="61" t="inlineStr">
        <is>
          <t>OLS_MAT_0072</t>
        </is>
      </c>
      <c r="B75" s="122" t="n"/>
      <c r="C75" s="20" t="n"/>
      <c r="D75" s="118" t="n"/>
      <c r="E75" s="122" t="n"/>
    </row>
    <row r="76" ht="15.6" customHeight="1">
      <c r="A76" s="61" t="inlineStr">
        <is>
          <t>OLS_MAT_0073</t>
        </is>
      </c>
      <c r="B76" s="122" t="n"/>
      <c r="C76" s="20" t="n"/>
      <c r="D76" s="118" t="n"/>
      <c r="E76" s="122" t="n"/>
    </row>
    <row r="77" ht="15.6" customHeight="1">
      <c r="A77" s="61" t="inlineStr">
        <is>
          <t>OLS_MAT_0074</t>
        </is>
      </c>
      <c r="B77" s="122" t="n"/>
      <c r="C77" s="20" t="n"/>
      <c r="D77" s="118" t="n"/>
      <c r="E77" s="122" t="n"/>
    </row>
    <row r="78" ht="15.6" customHeight="1">
      <c r="A78" s="61" t="inlineStr">
        <is>
          <t>OLS_MAT_0075</t>
        </is>
      </c>
      <c r="B78" s="122" t="n"/>
      <c r="C78" s="20" t="n"/>
      <c r="D78" s="118" t="n"/>
      <c r="E78" s="122" t="n"/>
    </row>
    <row r="79" ht="15.6" customHeight="1">
      <c r="A79" s="61" t="inlineStr">
        <is>
          <t>OLS_MAT_0076</t>
        </is>
      </c>
      <c r="B79" s="122" t="n"/>
      <c r="C79" s="20" t="n"/>
      <c r="D79" s="118" t="n"/>
      <c r="E79" s="122" t="n"/>
    </row>
    <row r="80" ht="15.6" customHeight="1">
      <c r="A80" s="61" t="inlineStr">
        <is>
          <t>OLS_MAT_0077</t>
        </is>
      </c>
      <c r="B80" s="122" t="n"/>
      <c r="C80" s="20" t="n"/>
      <c r="D80" s="118" t="n"/>
      <c r="E80" s="122" t="n"/>
    </row>
    <row r="81" ht="15.6" customHeight="1">
      <c r="A81" s="61" t="inlineStr">
        <is>
          <t>OLS_MAT_0078</t>
        </is>
      </c>
      <c r="B81" s="122" t="n"/>
      <c r="C81" s="20" t="n"/>
      <c r="D81" s="118" t="n"/>
      <c r="E81" s="122" t="n"/>
    </row>
    <row r="82" ht="15.6" customHeight="1">
      <c r="A82" s="61" t="inlineStr">
        <is>
          <t>OLS_MAT_0079</t>
        </is>
      </c>
      <c r="B82" s="122" t="n"/>
      <c r="C82" s="20" t="n"/>
      <c r="D82" s="118" t="n"/>
      <c r="E82" s="122" t="n"/>
    </row>
    <row r="83" ht="15.6" customHeight="1">
      <c r="A83" s="61" t="inlineStr">
        <is>
          <t>OLS_MAT_0080</t>
        </is>
      </c>
      <c r="B83" s="122" t="n"/>
      <c r="C83" s="20" t="n"/>
      <c r="D83" s="118" t="n"/>
      <c r="E83" s="122" t="n"/>
    </row>
    <row r="84" ht="15.6" customHeight="1">
      <c r="A84" s="61" t="inlineStr">
        <is>
          <t>OLS_MAT_0081</t>
        </is>
      </c>
      <c r="B84" s="122" t="n"/>
      <c r="C84" s="20" t="n"/>
      <c r="D84" s="118" t="n"/>
      <c r="E84" s="122" t="n"/>
    </row>
    <row r="85" ht="15.6" customHeight="1">
      <c r="A85" s="61" t="inlineStr">
        <is>
          <t>OLS_MAT_0082</t>
        </is>
      </c>
      <c r="B85" s="122" t="n"/>
      <c r="C85" s="20" t="n"/>
      <c r="D85" s="118" t="n"/>
      <c r="E85" s="122" t="n"/>
    </row>
    <row r="86" ht="15.6" customHeight="1">
      <c r="A86" s="61" t="inlineStr">
        <is>
          <t>OLS_MAT_0083</t>
        </is>
      </c>
      <c r="B86" s="122" t="n"/>
      <c r="C86" s="20" t="n"/>
      <c r="D86" s="118" t="n"/>
      <c r="E86" s="122" t="n"/>
    </row>
    <row r="87" ht="15.6" customHeight="1">
      <c r="A87" s="61" t="inlineStr">
        <is>
          <t>OLS_MAT_0084</t>
        </is>
      </c>
      <c r="B87" s="122" t="n"/>
      <c r="C87" s="20" t="n"/>
      <c r="D87" s="118" t="n"/>
      <c r="E87" s="122" t="n"/>
    </row>
    <row r="88" ht="15.6" customHeight="1">
      <c r="A88" s="61" t="inlineStr">
        <is>
          <t>OLS_MAT_0085</t>
        </is>
      </c>
      <c r="B88" s="122" t="n"/>
      <c r="C88" s="20" t="n"/>
      <c r="D88" s="118" t="n"/>
      <c r="E88" s="122" t="n"/>
    </row>
    <row r="89" ht="15.6" customHeight="1">
      <c r="A89" s="61" t="inlineStr">
        <is>
          <t>OLS_MAT_0086</t>
        </is>
      </c>
      <c r="B89" s="122" t="n"/>
      <c r="C89" s="20" t="n"/>
      <c r="D89" s="118" t="n"/>
      <c r="E89" s="122" t="n"/>
    </row>
    <row r="90" ht="15.6" customHeight="1">
      <c r="A90" s="61" t="inlineStr">
        <is>
          <t>OLS_MAT_0087</t>
        </is>
      </c>
      <c r="B90" s="122" t="n"/>
      <c r="C90" s="20" t="n"/>
      <c r="D90" s="118" t="n"/>
      <c r="E90" s="122" t="n"/>
    </row>
    <row r="91" ht="15.6" customHeight="1">
      <c r="A91" s="61" t="inlineStr">
        <is>
          <t>OLS_MAT_0088</t>
        </is>
      </c>
      <c r="B91" s="122" t="n"/>
      <c r="C91" s="20" t="n"/>
      <c r="D91" s="118" t="n"/>
      <c r="E91" s="122" t="n"/>
    </row>
    <row r="92" ht="15.6" customHeight="1">
      <c r="A92" s="61" t="inlineStr">
        <is>
          <t>OLS_MAT_0089</t>
        </is>
      </c>
      <c r="B92" s="122" t="n"/>
      <c r="C92" s="20" t="n"/>
      <c r="D92" s="118" t="n"/>
      <c r="E92" s="122" t="n"/>
    </row>
    <row r="93" ht="15.6" customHeight="1">
      <c r="A93" s="61" t="inlineStr">
        <is>
          <t>OLS_MAT_0090</t>
        </is>
      </c>
      <c r="B93" s="122" t="n"/>
      <c r="C93" s="20" t="n"/>
      <c r="D93" s="118" t="n"/>
      <c r="E93" s="122" t="n"/>
    </row>
    <row r="94" ht="15.6" customHeight="1">
      <c r="A94" s="61" t="inlineStr">
        <is>
          <t>OLS_MAT_0091</t>
        </is>
      </c>
      <c r="B94" s="122" t="n"/>
      <c r="C94" s="20" t="n"/>
      <c r="D94" s="118" t="n"/>
      <c r="E94" s="122" t="n"/>
    </row>
    <row r="95" ht="15.6" customHeight="1">
      <c r="A95" s="61" t="inlineStr">
        <is>
          <t>OLS_MAT_0092</t>
        </is>
      </c>
      <c r="B95" s="122" t="n"/>
      <c r="C95" s="20" t="n"/>
      <c r="D95" s="118" t="n"/>
      <c r="E95" s="122" t="n"/>
    </row>
    <row r="96" ht="15.6" customHeight="1">
      <c r="A96" s="61" t="inlineStr">
        <is>
          <t>OLS_MAT_0093</t>
        </is>
      </c>
      <c r="B96" s="122" t="n"/>
      <c r="C96" s="20" t="n"/>
      <c r="D96" s="118" t="n"/>
      <c r="E96" s="122" t="n"/>
    </row>
    <row r="97" ht="15.6" customHeight="1">
      <c r="A97" s="61" t="inlineStr">
        <is>
          <t>OLS_MAT_0094</t>
        </is>
      </c>
      <c r="B97" s="122" t="n"/>
      <c r="C97" s="20" t="n"/>
      <c r="D97" s="118" t="n"/>
      <c r="E97" s="122" t="n"/>
    </row>
    <row r="98" ht="15.6" customHeight="1">
      <c r="A98" s="61" t="inlineStr">
        <is>
          <t>OLS_MAT_0095</t>
        </is>
      </c>
      <c r="B98" s="122" t="n"/>
      <c r="C98" s="20" t="n"/>
      <c r="D98" s="118" t="n"/>
      <c r="E98" s="122" t="n"/>
    </row>
    <row r="99" ht="15.6" customHeight="1">
      <c r="A99" s="61" t="inlineStr">
        <is>
          <t>OLS_MAT_0096</t>
        </is>
      </c>
      <c r="B99" s="122" t="n"/>
      <c r="C99" s="20" t="n"/>
      <c r="D99" s="118" t="n"/>
      <c r="E99" s="122" t="n"/>
    </row>
    <row r="100" ht="15.6" customHeight="1">
      <c r="A100" s="61" t="inlineStr">
        <is>
          <t>OLS_MAT_0097</t>
        </is>
      </c>
      <c r="B100" s="122" t="n"/>
      <c r="C100" s="20" t="n"/>
      <c r="D100" s="118" t="n"/>
      <c r="E100" s="122" t="n"/>
    </row>
    <row r="101" ht="15.6" customHeight="1">
      <c r="A101" s="61" t="inlineStr">
        <is>
          <t>OLS_MAT_0098</t>
        </is>
      </c>
      <c r="B101" s="122" t="n"/>
      <c r="C101" s="20" t="n"/>
      <c r="D101" s="118" t="n"/>
      <c r="E101" s="122" t="n"/>
    </row>
    <row r="102" ht="15.6" customHeight="1">
      <c r="A102" s="61" t="inlineStr">
        <is>
          <t>OLS_MAT_0099</t>
        </is>
      </c>
      <c r="B102" s="122" t="n"/>
      <c r="C102" s="20" t="n"/>
      <c r="D102" s="118" t="n"/>
      <c r="E102" s="122" t="n"/>
    </row>
    <row r="103" ht="15.6" customHeight="1">
      <c r="A103" s="61" t="inlineStr">
        <is>
          <t>OLS_MAT_0100</t>
        </is>
      </c>
      <c r="B103" s="122" t="n"/>
      <c r="C103" s="20" t="n"/>
      <c r="D103" s="118" t="n"/>
      <c r="E103" s="122" t="n"/>
    </row>
    <row r="104" ht="15.6" customHeight="1">
      <c r="A104" s="61" t="inlineStr">
        <is>
          <t>OLS_MAT_0101</t>
        </is>
      </c>
      <c r="B104" s="122" t="n"/>
      <c r="C104" s="20" t="n"/>
      <c r="D104" s="118" t="n"/>
      <c r="E104" s="122" t="n"/>
    </row>
    <row r="105" ht="15.6" customHeight="1">
      <c r="A105" s="61" t="inlineStr">
        <is>
          <t>OLS_MAT_0102</t>
        </is>
      </c>
      <c r="B105" s="122" t="n"/>
      <c r="C105" s="20" t="n"/>
      <c r="D105" s="118" t="n"/>
      <c r="E105" s="122" t="n"/>
    </row>
    <row r="106" ht="15.6" customHeight="1">
      <c r="A106" s="61" t="inlineStr">
        <is>
          <t>OLS_MAT_0103</t>
        </is>
      </c>
      <c r="B106" s="122" t="n"/>
      <c r="C106" s="20" t="n"/>
      <c r="D106" s="118" t="n"/>
      <c r="E106" s="122" t="n"/>
    </row>
    <row r="107" ht="15.6" customHeight="1">
      <c r="A107" s="61" t="inlineStr">
        <is>
          <t>OLS_MAT_0104</t>
        </is>
      </c>
      <c r="B107" s="122" t="n"/>
      <c r="C107" s="20" t="n"/>
      <c r="D107" s="118" t="n"/>
      <c r="E107" s="122" t="n"/>
    </row>
    <row r="108" ht="15.6" customHeight="1">
      <c r="A108" s="61" t="inlineStr">
        <is>
          <t>OLS_MAT_0105</t>
        </is>
      </c>
      <c r="B108" s="122" t="n"/>
      <c r="C108" s="20" t="n"/>
      <c r="D108" s="118" t="n"/>
      <c r="E108" s="122" t="n"/>
    </row>
    <row r="109" ht="15.6" customHeight="1">
      <c r="A109" s="61" t="inlineStr">
        <is>
          <t>OLS_MAT_0106</t>
        </is>
      </c>
      <c r="B109" s="122" t="n"/>
      <c r="C109" s="20" t="n"/>
      <c r="D109" s="118" t="n"/>
      <c r="E109" s="122" t="n"/>
    </row>
    <row r="110" ht="15.6" customHeight="1">
      <c r="A110" s="61" t="inlineStr">
        <is>
          <t>OLS_MAT_0107</t>
        </is>
      </c>
      <c r="B110" s="122" t="n"/>
      <c r="C110" s="20" t="n"/>
      <c r="D110" s="118" t="n"/>
      <c r="E110" s="122" t="n"/>
    </row>
    <row r="111" ht="15.6" customHeight="1">
      <c r="A111" s="61" t="inlineStr">
        <is>
          <t>OLS_MAT_0108</t>
        </is>
      </c>
      <c r="B111" s="122" t="n"/>
      <c r="C111" s="20" t="n"/>
      <c r="D111" s="118" t="n"/>
      <c r="E111" s="122" t="n"/>
    </row>
    <row r="112" ht="15.6" customHeight="1">
      <c r="A112" s="61" t="inlineStr">
        <is>
          <t>OLS_MAT_0109</t>
        </is>
      </c>
      <c r="B112" s="122" t="n"/>
      <c r="C112" s="20" t="n"/>
      <c r="D112" s="118" t="n"/>
      <c r="E112" s="122" t="n"/>
    </row>
    <row r="113" ht="15.6" customHeight="1">
      <c r="A113" s="61" t="inlineStr">
        <is>
          <t>OLS_MAT_0110</t>
        </is>
      </c>
      <c r="B113" s="122" t="n"/>
      <c r="C113" s="20" t="n"/>
      <c r="D113" s="118" t="n"/>
      <c r="E113" s="122" t="n"/>
    </row>
    <row r="114" ht="15.6" customHeight="1">
      <c r="A114" s="61" t="inlineStr">
        <is>
          <t>OLS_MAT_0111</t>
        </is>
      </c>
      <c r="B114" s="122" t="n"/>
      <c r="C114" s="20" t="n"/>
      <c r="D114" s="118" t="n"/>
      <c r="E114" s="122" t="n"/>
    </row>
    <row r="115" ht="15.6" customHeight="1">
      <c r="A115" s="61" t="inlineStr">
        <is>
          <t>OLS_MAT_0112</t>
        </is>
      </c>
      <c r="B115" s="122" t="n"/>
      <c r="C115" s="20" t="n"/>
      <c r="D115" s="118" t="n"/>
      <c r="E115" s="122" t="n"/>
    </row>
    <row r="116" ht="15.6" customHeight="1">
      <c r="A116" s="61" t="inlineStr">
        <is>
          <t>OLS_MAT_0113</t>
        </is>
      </c>
      <c r="B116" s="122" t="n"/>
      <c r="C116" s="20" t="n"/>
      <c r="D116" s="118" t="n"/>
      <c r="E116" s="122" t="n"/>
    </row>
    <row r="117" ht="15.6" customHeight="1">
      <c r="A117" s="61" t="inlineStr">
        <is>
          <t>OLS_MAT_0114</t>
        </is>
      </c>
      <c r="B117" s="122" t="n"/>
      <c r="C117" s="20" t="n"/>
      <c r="D117" s="118" t="n"/>
      <c r="E117" s="122" t="n"/>
    </row>
    <row r="118" ht="15.6" customHeight="1">
      <c r="A118" s="61" t="inlineStr">
        <is>
          <t>OLS_MAT_0115</t>
        </is>
      </c>
      <c r="B118" s="122" t="n"/>
      <c r="C118" s="20" t="n"/>
      <c r="D118" s="122" t="n"/>
      <c r="E118" s="122" t="n"/>
    </row>
    <row r="119" ht="15.6" customHeight="1">
      <c r="A119" s="61" t="inlineStr">
        <is>
          <t>OLS_MAT_0116</t>
        </is>
      </c>
      <c r="B119" s="122" t="n"/>
      <c r="C119" s="20" t="n"/>
      <c r="D119" s="122" t="n"/>
      <c r="E119" s="122" t="n"/>
    </row>
    <row r="120" ht="15.6" customHeight="1">
      <c r="A120" s="61" t="inlineStr">
        <is>
          <t>OLS_MAT_0117</t>
        </is>
      </c>
      <c r="B120" s="122" t="n"/>
      <c r="C120" s="20" t="n"/>
      <c r="D120" s="122" t="n"/>
      <c r="E120" s="122" t="n"/>
    </row>
    <row r="121" ht="15.6" customHeight="1">
      <c r="A121" s="61" t="inlineStr">
        <is>
          <t>OLS_MAT_0132</t>
        </is>
      </c>
      <c r="B121" s="122" t="n"/>
      <c r="C121" s="20" t="n"/>
      <c r="D121" s="122" t="n"/>
      <c r="E121" s="122" t="n"/>
    </row>
    <row r="122" ht="15.6" customHeight="1">
      <c r="A122" s="61" t="inlineStr">
        <is>
          <t>OLS_MAT_0133</t>
        </is>
      </c>
      <c r="B122" s="122" t="n"/>
      <c r="C122" s="20" t="n"/>
      <c r="D122" s="122" t="n"/>
      <c r="E122" s="122" t="n"/>
    </row>
    <row r="123" ht="15.6" customHeight="1">
      <c r="A123" s="61" t="inlineStr">
        <is>
          <t>OLS_MAT_0134</t>
        </is>
      </c>
      <c r="B123" s="122" t="n"/>
      <c r="C123" s="20" t="n"/>
      <c r="D123" s="122" t="n"/>
      <c r="E123" s="122" t="n"/>
    </row>
    <row r="124" ht="15.6" customHeight="1">
      <c r="A124" s="61" t="inlineStr">
        <is>
          <t>OLS_MAT_0135</t>
        </is>
      </c>
      <c r="B124" s="122" t="n"/>
      <c r="C124" s="20" t="n"/>
      <c r="D124" s="122" t="n"/>
      <c r="E124" s="122" t="n"/>
    </row>
    <row r="125" ht="15.6" customHeight="1">
      <c r="A125" s="61" t="inlineStr">
        <is>
          <t>OLS_MAT_0136</t>
        </is>
      </c>
      <c r="B125" s="122" t="n"/>
      <c r="C125" s="20" t="n"/>
      <c r="D125" s="122" t="n"/>
      <c r="E125" s="122" t="n"/>
    </row>
    <row r="126" ht="15.6" customHeight="1">
      <c r="A126" s="61" t="inlineStr">
        <is>
          <t>OLS_MAT_0137</t>
        </is>
      </c>
      <c r="B126" s="122" t="n"/>
      <c r="C126" s="20" t="n"/>
      <c r="D126" s="122" t="n"/>
      <c r="E126" s="122" t="n"/>
    </row>
    <row r="127">
      <c r="D127" s="123">
        <f>SUM(D4:D126)</f>
        <v/>
      </c>
      <c r="E127" s="123">
        <f>SUM(E4:E126)</f>
        <v/>
      </c>
    </row>
  </sheetData>
  <autoFilter ref="A3:E126"/>
  <mergeCells count="62">
    <mergeCell ref="F20:H20"/>
    <mergeCell ref="I30:J30"/>
    <mergeCell ref="I6:J6"/>
    <mergeCell ref="F5:H5"/>
    <mergeCell ref="F18:H18"/>
    <mergeCell ref="F33:H33"/>
    <mergeCell ref="I15:J15"/>
    <mergeCell ref="F32:H32"/>
    <mergeCell ref="I11:J11"/>
    <mergeCell ref="F8:H8"/>
    <mergeCell ref="F26:H26"/>
    <mergeCell ref="I27:J27"/>
    <mergeCell ref="F17:H17"/>
    <mergeCell ref="I26:J26"/>
    <mergeCell ref="F23:H23"/>
    <mergeCell ref="F22:H22"/>
    <mergeCell ref="F28:H28"/>
    <mergeCell ref="I16:J16"/>
    <mergeCell ref="C1:D1"/>
    <mergeCell ref="F13:H13"/>
    <mergeCell ref="I7:J7"/>
    <mergeCell ref="I25:J25"/>
    <mergeCell ref="F27:H27"/>
    <mergeCell ref="F31:H31"/>
    <mergeCell ref="I32:J32"/>
    <mergeCell ref="F9:H9"/>
    <mergeCell ref="I22:J22"/>
    <mergeCell ref="I28:J28"/>
    <mergeCell ref="F15:H15"/>
    <mergeCell ref="I18:J18"/>
    <mergeCell ref="I21:J21"/>
    <mergeCell ref="I12:J12"/>
    <mergeCell ref="F14:H14"/>
    <mergeCell ref="F7:H7"/>
    <mergeCell ref="I24:J24"/>
    <mergeCell ref="I33:J33"/>
    <mergeCell ref="F4:H4"/>
    <mergeCell ref="I5:J5"/>
    <mergeCell ref="I23:J23"/>
    <mergeCell ref="I8:J8"/>
    <mergeCell ref="A1:B2"/>
    <mergeCell ref="I14:J14"/>
    <mergeCell ref="F29:H29"/>
    <mergeCell ref="I17:J17"/>
    <mergeCell ref="F11:H11"/>
    <mergeCell ref="F25:H25"/>
    <mergeCell ref="F10:H10"/>
    <mergeCell ref="F16:H16"/>
    <mergeCell ref="I4:J4"/>
    <mergeCell ref="F6:H6"/>
    <mergeCell ref="I20:J20"/>
    <mergeCell ref="F19:H19"/>
    <mergeCell ref="I29:J29"/>
    <mergeCell ref="I10:J10"/>
    <mergeCell ref="I19:J19"/>
    <mergeCell ref="I31:J31"/>
    <mergeCell ref="I13:J13"/>
    <mergeCell ref="F30:H30"/>
    <mergeCell ref="F12:H12"/>
    <mergeCell ref="F21:H21"/>
    <mergeCell ref="I9:J9"/>
    <mergeCell ref="F24:H24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zoomScale="90" zoomScaleNormal="90" workbookViewId="0">
      <selection activeCell="A1" sqref="A1:E2"/>
    </sheetView>
  </sheetViews>
  <sheetFormatPr baseColWidth="8" defaultColWidth="8.88671875" defaultRowHeight="15.6"/>
  <cols>
    <col width="15" bestFit="1" customWidth="1" style="71" min="1" max="1"/>
    <col width="86" bestFit="1" customWidth="1" style="73" min="2" max="2"/>
    <col width="19" bestFit="1" customWidth="1" style="71" min="3" max="3"/>
    <col width="18.88671875" bestFit="1" customWidth="1" style="71" min="4" max="4"/>
    <col width="16.5546875" bestFit="1" customWidth="1" style="71" min="5" max="5"/>
    <col width="8.88671875" customWidth="1" style="71" min="6" max="16384"/>
  </cols>
  <sheetData>
    <row r="1">
      <c r="A1" s="92" t="inlineStr">
        <is>
          <t xml:space="preserve">EQUIPAMENTOS </t>
        </is>
      </c>
      <c r="C1" s="90">
        <f>TODAY()</f>
        <v/>
      </c>
      <c r="E1" s="112" t="n"/>
    </row>
    <row r="2" ht="18" customHeight="1">
      <c r="A2" s="113" t="n"/>
      <c r="B2" s="113" t="n"/>
      <c r="C2" s="62" t="n"/>
      <c r="D2" s="114" t="inlineStr">
        <is>
          <t>Custo Total</t>
        </is>
      </c>
      <c r="E2" s="115">
        <f>SUM(E4:E72)</f>
        <v/>
      </c>
    </row>
    <row r="3">
      <c r="A3" s="65" t="inlineStr">
        <is>
          <t>Item</t>
        </is>
      </c>
      <c r="B3" s="66" t="inlineStr">
        <is>
          <t>Juniper SRX300</t>
        </is>
      </c>
      <c r="C3" s="67" t="n">
        <v>2</v>
      </c>
      <c r="D3" s="124" t="inlineStr">
        <is>
          <t>Custo Un. R$</t>
        </is>
      </c>
      <c r="E3" s="125" t="inlineStr">
        <is>
          <t>R$ TOTAL</t>
        </is>
      </c>
    </row>
    <row r="4" ht="15" customHeight="1">
      <c r="A4" s="70" t="inlineStr">
        <is>
          <t>OLS_EQP_0001</t>
        </is>
      </c>
      <c r="B4" t="inlineStr">
        <is>
          <t>Switch Cisco 3560 24P</t>
        </is>
      </c>
      <c r="C4" s="74" t="n">
        <v>2</v>
      </c>
      <c r="D4" s="119" t="n"/>
      <c r="E4" s="119">
        <f>C4*D4</f>
        <v/>
      </c>
    </row>
    <row r="5">
      <c r="A5" s="70" t="inlineStr">
        <is>
          <t>OLS_EQP_0002</t>
        </is>
      </c>
      <c r="B5" t="inlineStr">
        <is>
          <t>Probe</t>
        </is>
      </c>
      <c r="C5" s="74" t="n">
        <v>1</v>
      </c>
      <c r="D5" s="119" t="n"/>
      <c r="E5" s="119">
        <f>C5*D5</f>
        <v/>
      </c>
    </row>
    <row r="6">
      <c r="A6" s="70" t="inlineStr">
        <is>
          <t>OLS_EQP_0003</t>
        </is>
      </c>
      <c r="B6" t="inlineStr">
        <is>
          <t xml:space="preserve">Telefone IP </t>
        </is>
      </c>
      <c r="C6" s="74" t="n">
        <v>1</v>
      </c>
      <c r="D6" s="119" t="n"/>
      <c r="E6" s="119">
        <f>C6*D6</f>
        <v/>
      </c>
    </row>
    <row r="7">
      <c r="A7" s="70" t="inlineStr">
        <is>
          <t>OLS_EQP_0004</t>
        </is>
      </c>
      <c r="B7" t="inlineStr">
        <is>
          <t>Telefone s/ fio IP</t>
        </is>
      </c>
      <c r="C7" s="74" t="n">
        <v>1</v>
      </c>
      <c r="D7" s="119" t="n"/>
      <c r="E7" s="119">
        <f>C7*D7</f>
        <v/>
      </c>
    </row>
    <row r="8">
      <c r="A8" s="70" t="inlineStr">
        <is>
          <t>OLS_EQP_0005</t>
        </is>
      </c>
      <c r="B8" t="inlineStr">
        <is>
          <t>Antena UHF _TV recepção</t>
        </is>
      </c>
      <c r="C8" s="74" t="n">
        <v>1</v>
      </c>
      <c r="D8" s="119" t="n"/>
      <c r="E8" s="119">
        <f>C8*D8</f>
        <v/>
      </c>
    </row>
    <row r="9" ht="21" customHeight="1">
      <c r="A9" s="70" t="inlineStr">
        <is>
          <t>OLS_EQP_0006</t>
        </is>
      </c>
      <c r="B9" t="inlineStr">
        <is>
          <t>Antena Omini LTE</t>
        </is>
      </c>
      <c r="C9" s="74" t="n">
        <v>2</v>
      </c>
      <c r="D9" s="119" t="n"/>
      <c r="E9" s="119">
        <f>C9*D9</f>
        <v/>
      </c>
    </row>
    <row r="10" customFormat="1" s="79">
      <c r="A10" s="70" t="inlineStr">
        <is>
          <t>OLS_EQP_0007</t>
        </is>
      </c>
      <c r="B10" s="73" t="inlineStr">
        <is>
          <t>Extensor HDMI</t>
        </is>
      </c>
      <c r="C10" s="74" t="n">
        <v>3</v>
      </c>
      <c r="D10" s="119" t="n"/>
      <c r="E10" s="119">
        <f>C10*D10</f>
        <v/>
      </c>
      <c r="F10" s="71" t="n"/>
      <c r="G10" s="71" t="n"/>
      <c r="H10" s="71" t="n"/>
      <c r="I10" s="71" t="n"/>
      <c r="J10" s="71" t="n"/>
      <c r="K10" s="89" t="n"/>
    </row>
    <row r="11" customFormat="1" s="79">
      <c r="A11" s="70" t="inlineStr">
        <is>
          <t>OLS_EQP_0008</t>
        </is>
      </c>
      <c r="B11" s="73" t="inlineStr">
        <is>
          <t xml:space="preserve">DIVISOR HDMI 1X4 </t>
        </is>
      </c>
      <c r="C11" s="74" t="n">
        <v>1</v>
      </c>
      <c r="D11" s="119" t="n"/>
      <c r="E11" s="119">
        <f>C11*D11</f>
        <v/>
      </c>
      <c r="F11" s="71" t="n"/>
      <c r="G11" s="71" t="n"/>
      <c r="H11" s="71" t="n"/>
      <c r="I11" s="71" t="n"/>
      <c r="J11" s="71" t="n"/>
      <c r="K11" s="89" t="n"/>
    </row>
    <row r="12" customFormat="1" s="79">
      <c r="A12" s="70" t="inlineStr">
        <is>
          <t>OLS_EQP_0009</t>
        </is>
      </c>
      <c r="B12" s="73" t="n"/>
      <c r="C12" s="74" t="n">
        <v>0</v>
      </c>
      <c r="D12" s="119" t="n"/>
      <c r="E12" s="119">
        <f>C12*D12</f>
        <v/>
      </c>
      <c r="F12" s="71" t="n"/>
      <c r="G12" s="71" t="n"/>
      <c r="H12" s="71" t="n"/>
      <c r="I12" s="71" t="n"/>
      <c r="J12" s="71" t="n"/>
      <c r="K12" s="89" t="n"/>
    </row>
    <row r="13" customFormat="1" s="79">
      <c r="A13" s="70" t="inlineStr">
        <is>
          <t>OLS_EQP_0010</t>
        </is>
      </c>
      <c r="B13" s="73" t="n"/>
      <c r="C13" s="74" t="n">
        <v>0</v>
      </c>
      <c r="D13" s="119" t="n"/>
      <c r="E13" s="119">
        <f>C13*D13</f>
        <v/>
      </c>
      <c r="F13" s="71" t="n"/>
      <c r="G13" s="71" t="n"/>
      <c r="H13" s="71" t="n"/>
      <c r="I13" s="71" t="n"/>
      <c r="J13" s="71" t="n"/>
      <c r="K13" s="89" t="n"/>
    </row>
    <row r="14" customFormat="1" s="79">
      <c r="A14" s="70" t="inlineStr">
        <is>
          <t>OLS_EQP_0011</t>
        </is>
      </c>
      <c r="B14" s="73" t="n"/>
      <c r="C14" s="74" t="n">
        <v>0</v>
      </c>
      <c r="D14" s="119" t="n"/>
      <c r="E14" s="119">
        <f>C14*D14</f>
        <v/>
      </c>
      <c r="F14" s="71" t="n"/>
      <c r="G14" s="71" t="n"/>
      <c r="H14" s="71" t="n"/>
      <c r="I14" s="71" t="n"/>
      <c r="J14" s="71" t="n"/>
      <c r="K14" s="89" t="n"/>
    </row>
    <row r="15" customFormat="1" s="79">
      <c r="A15" s="70" t="inlineStr">
        <is>
          <t>OLS_EQP_0012</t>
        </is>
      </c>
      <c r="B15" s="73" t="n"/>
      <c r="C15" s="74" t="n">
        <v>0</v>
      </c>
      <c r="D15" s="119" t="n"/>
      <c r="E15" s="119">
        <f>C15*D15</f>
        <v/>
      </c>
      <c r="F15" s="71" t="n"/>
      <c r="G15" s="71" t="n"/>
      <c r="H15" s="71" t="n"/>
      <c r="I15" s="71" t="n"/>
      <c r="J15" s="71" t="n"/>
      <c r="K15" s="89" t="n"/>
    </row>
    <row r="16" customFormat="1" s="79">
      <c r="A16" s="70" t="inlineStr">
        <is>
          <t>OLS_EQP_0013</t>
        </is>
      </c>
      <c r="B16" s="73" t="n"/>
      <c r="C16" s="74" t="n">
        <v>0</v>
      </c>
      <c r="D16" s="119" t="n"/>
      <c r="E16" s="119">
        <f>C16*D16</f>
        <v/>
      </c>
      <c r="F16" s="71" t="n"/>
      <c r="G16" s="71" t="n"/>
      <c r="H16" s="71" t="n"/>
      <c r="I16" s="71" t="n"/>
      <c r="J16" s="71" t="n"/>
      <c r="K16" s="89" t="n"/>
    </row>
    <row r="17" customFormat="1" s="79">
      <c r="A17" s="70" t="inlineStr">
        <is>
          <t>OLS_EQP_0014</t>
        </is>
      </c>
      <c r="B17" s="73" t="n"/>
      <c r="C17" s="74" t="n">
        <v>0</v>
      </c>
      <c r="D17" s="119" t="n"/>
      <c r="E17" s="119">
        <f>C17*D17</f>
        <v/>
      </c>
      <c r="F17" s="71" t="n"/>
      <c r="G17" s="71" t="n"/>
      <c r="H17" s="71" t="n"/>
      <c r="I17" s="71" t="n"/>
      <c r="J17" s="71" t="n"/>
      <c r="K17" s="89" t="n"/>
    </row>
    <row r="18" customFormat="1" s="79">
      <c r="A18" s="70" t="inlineStr">
        <is>
          <t>OLS_EQP_0015</t>
        </is>
      </c>
      <c r="B18" s="73" t="n"/>
      <c r="C18" s="74" t="n">
        <v>0</v>
      </c>
      <c r="D18" s="119" t="n"/>
      <c r="E18" s="119">
        <f>C18*D18</f>
        <v/>
      </c>
      <c r="F18" s="71" t="n"/>
      <c r="G18" s="71" t="n"/>
      <c r="H18" s="71" t="n"/>
      <c r="I18" s="71" t="n"/>
      <c r="J18" s="71" t="n"/>
      <c r="K18" s="89" t="n"/>
    </row>
    <row r="19" customFormat="1" s="79">
      <c r="A19" s="70" t="inlineStr">
        <is>
          <t>OLS_EQP_0016</t>
        </is>
      </c>
      <c r="B19" s="73" t="n"/>
      <c r="C19" s="74" t="n">
        <v>0</v>
      </c>
      <c r="D19" s="119" t="n"/>
      <c r="E19" s="119">
        <f>C19*D19</f>
        <v/>
      </c>
      <c r="F19" s="71" t="n"/>
      <c r="G19" s="71" t="n"/>
      <c r="H19" s="71" t="n"/>
      <c r="I19" s="71" t="n"/>
      <c r="J19" s="71" t="n"/>
      <c r="K19" s="89" t="n"/>
    </row>
    <row r="20" customFormat="1" s="79">
      <c r="A20" s="70" t="inlineStr">
        <is>
          <t>OLS_EQP_0017</t>
        </is>
      </c>
      <c r="B20" s="73" t="n"/>
      <c r="C20" s="74" t="n">
        <v>0</v>
      </c>
      <c r="D20" s="119" t="n"/>
      <c r="E20" s="119">
        <f>C20*D20</f>
        <v/>
      </c>
      <c r="F20" s="71" t="n"/>
      <c r="G20" s="71" t="n"/>
      <c r="H20" s="71" t="n"/>
      <c r="I20" s="71" t="n"/>
      <c r="J20" s="71" t="n"/>
      <c r="K20" s="89" t="n"/>
    </row>
    <row r="21" customFormat="1" s="79">
      <c r="A21" s="70" t="inlineStr">
        <is>
          <t>OLS_EQP_0018</t>
        </is>
      </c>
      <c r="B21" s="73" t="n"/>
      <c r="C21" s="74" t="n">
        <v>0</v>
      </c>
      <c r="D21" s="119" t="n"/>
      <c r="E21" s="119">
        <f>C21*D21</f>
        <v/>
      </c>
      <c r="F21" s="71" t="n"/>
      <c r="G21" s="71" t="n"/>
      <c r="H21" s="71" t="n"/>
      <c r="I21" s="71" t="n"/>
      <c r="J21" s="71" t="n"/>
      <c r="K21" s="89" t="n"/>
    </row>
    <row r="22" customFormat="1" s="79">
      <c r="A22" s="70" t="inlineStr">
        <is>
          <t>OLS_EQP_0019</t>
        </is>
      </c>
      <c r="B22" s="73" t="n"/>
      <c r="C22" s="74" t="n">
        <v>0</v>
      </c>
      <c r="D22" s="119" t="n"/>
      <c r="E22" s="119">
        <f>C22*D22</f>
        <v/>
      </c>
      <c r="F22" s="71" t="n"/>
      <c r="G22" s="71" t="n"/>
      <c r="H22" s="71" t="n"/>
      <c r="I22" s="71" t="n"/>
      <c r="J22" s="71" t="n"/>
      <c r="K22" s="89" t="n"/>
    </row>
    <row r="23" customFormat="1" s="79">
      <c r="A23" s="70" t="inlineStr">
        <is>
          <t>OLS_EQP_0020</t>
        </is>
      </c>
      <c r="B23" s="73" t="n"/>
      <c r="C23" s="74" t="n">
        <v>0</v>
      </c>
      <c r="D23" s="119" t="n"/>
      <c r="E23" s="119">
        <f>C23*D23</f>
        <v/>
      </c>
      <c r="F23" s="71" t="n"/>
      <c r="G23" s="71" t="n"/>
      <c r="H23" s="71" t="n"/>
      <c r="I23" s="71" t="n"/>
      <c r="J23" s="71" t="n"/>
      <c r="K23" s="89" t="n"/>
    </row>
    <row r="24" customFormat="1" s="79">
      <c r="A24" s="70" t="inlineStr">
        <is>
          <t>OLS_EQP_0021</t>
        </is>
      </c>
      <c r="B24" s="73" t="n"/>
      <c r="C24" s="74" t="n">
        <v>0</v>
      </c>
      <c r="D24" s="119" t="n"/>
      <c r="E24" s="119">
        <f>C24*D24</f>
        <v/>
      </c>
      <c r="F24" s="71" t="n"/>
      <c r="G24" s="71" t="n"/>
      <c r="H24" s="71" t="n"/>
      <c r="I24" s="71" t="n"/>
      <c r="J24" s="71" t="n"/>
      <c r="K24" s="89" t="n"/>
    </row>
    <row r="25" customFormat="1" s="79">
      <c r="A25" s="70" t="inlineStr">
        <is>
          <t>OLS_EQP_0022</t>
        </is>
      </c>
      <c r="B25" s="73" t="n"/>
      <c r="C25" s="74" t="n">
        <v>0</v>
      </c>
      <c r="D25" s="119" t="n"/>
      <c r="E25" s="119">
        <f>C25*D25</f>
        <v/>
      </c>
      <c r="F25" s="71" t="n"/>
      <c r="G25" s="71" t="n"/>
      <c r="H25" s="71" t="n"/>
      <c r="I25" s="71" t="n"/>
      <c r="J25" s="71" t="n"/>
      <c r="K25" s="89" t="n"/>
    </row>
    <row r="26" customFormat="1" s="79">
      <c r="A26" s="70" t="inlineStr">
        <is>
          <t>OLS_EQP_0023</t>
        </is>
      </c>
      <c r="B26" s="73" t="n"/>
      <c r="C26" s="74" t="n">
        <v>0</v>
      </c>
      <c r="D26" s="119" t="n"/>
      <c r="E26" s="119">
        <f>C26*D26</f>
        <v/>
      </c>
      <c r="F26" s="71" t="n"/>
      <c r="G26" s="71" t="n"/>
      <c r="H26" s="71" t="n"/>
      <c r="I26" s="71" t="n"/>
      <c r="J26" s="71" t="n"/>
      <c r="K26" s="89" t="n"/>
    </row>
    <row r="27" customFormat="1" s="79">
      <c r="A27" s="70" t="inlineStr">
        <is>
          <t>OLS_EQP_0024</t>
        </is>
      </c>
      <c r="B27" s="73" t="n"/>
      <c r="C27" s="74" t="n">
        <v>0</v>
      </c>
      <c r="D27" s="119" t="n"/>
      <c r="E27" s="119">
        <f>C27*D27</f>
        <v/>
      </c>
      <c r="F27" s="71" t="n"/>
      <c r="G27" s="71" t="n"/>
      <c r="H27" s="71" t="n"/>
      <c r="I27" s="71" t="n"/>
      <c r="J27" s="71" t="n"/>
      <c r="K27" s="89" t="n"/>
    </row>
    <row r="28" customFormat="1" s="79">
      <c r="A28" s="70" t="inlineStr">
        <is>
          <t>OLS_EQP_0025</t>
        </is>
      </c>
      <c r="B28" s="73" t="n"/>
      <c r="C28" s="74" t="n">
        <v>0</v>
      </c>
      <c r="D28" s="119" t="n"/>
      <c r="E28" s="119">
        <f>C28*D28</f>
        <v/>
      </c>
      <c r="F28" s="71" t="n"/>
      <c r="G28" s="71" t="n"/>
      <c r="H28" s="71" t="n"/>
      <c r="I28" s="71" t="n"/>
      <c r="J28" s="71" t="n"/>
      <c r="K28" s="89" t="n"/>
    </row>
    <row r="29" customFormat="1" s="79">
      <c r="A29" s="70" t="inlineStr">
        <is>
          <t>OLS_EQP_0026</t>
        </is>
      </c>
      <c r="B29" s="73" t="n"/>
      <c r="C29" s="74" t="n">
        <v>0</v>
      </c>
      <c r="D29" s="119" t="n"/>
      <c r="E29" s="119">
        <f>C29*D29</f>
        <v/>
      </c>
      <c r="F29" s="71" t="n"/>
      <c r="G29" s="71" t="n"/>
      <c r="H29" s="71" t="n"/>
      <c r="I29" s="71" t="n"/>
      <c r="J29" s="71" t="n"/>
      <c r="K29" s="89" t="n"/>
    </row>
    <row r="30" customFormat="1" s="79">
      <c r="A30" s="70" t="inlineStr">
        <is>
          <t>OLS_EQP_0027</t>
        </is>
      </c>
      <c r="B30" s="73" t="n"/>
      <c r="C30" s="74" t="n">
        <v>0</v>
      </c>
      <c r="D30" s="119" t="n"/>
      <c r="E30" s="119">
        <f>C30*D30</f>
        <v/>
      </c>
      <c r="F30" s="71" t="n"/>
      <c r="G30" s="71" t="n"/>
      <c r="H30" s="71" t="n"/>
      <c r="I30" s="71" t="n"/>
      <c r="J30" s="71" t="n"/>
      <c r="K30" s="89" t="n"/>
    </row>
    <row r="31" customFormat="1" s="79">
      <c r="A31" s="70" t="inlineStr">
        <is>
          <t>OLS_EQP_0028</t>
        </is>
      </c>
      <c r="B31" s="73" t="n"/>
      <c r="C31" s="74" t="n">
        <v>0</v>
      </c>
      <c r="D31" s="119" t="n"/>
      <c r="E31" s="119">
        <f>C31*D31</f>
        <v/>
      </c>
      <c r="F31" s="71" t="n"/>
      <c r="G31" s="71" t="n"/>
      <c r="H31" s="71" t="n"/>
      <c r="I31" s="71" t="n"/>
      <c r="J31" s="71" t="n"/>
      <c r="K31" s="89" t="n"/>
    </row>
    <row r="32" customFormat="1" s="79">
      <c r="A32" s="70" t="inlineStr">
        <is>
          <t>OLS_EQP_0029</t>
        </is>
      </c>
      <c r="B32" s="73" t="n"/>
      <c r="C32" s="74" t="n">
        <v>0</v>
      </c>
      <c r="D32" s="119" t="n"/>
      <c r="E32" s="119">
        <f>C32*D32</f>
        <v/>
      </c>
      <c r="F32" s="71" t="n"/>
      <c r="G32" s="71" t="n"/>
      <c r="H32" s="71" t="n"/>
      <c r="I32" s="71" t="n"/>
      <c r="J32" s="71" t="n"/>
      <c r="K32" s="89" t="n"/>
    </row>
    <row r="33" customFormat="1" s="79">
      <c r="A33" s="70" t="inlineStr">
        <is>
          <t>OLS_EQP_0030</t>
        </is>
      </c>
      <c r="B33" s="73" t="n"/>
      <c r="C33" s="74" t="n">
        <v>0</v>
      </c>
      <c r="D33" s="119" t="n"/>
      <c r="E33" s="119">
        <f>C33*D33</f>
        <v/>
      </c>
      <c r="F33" s="71" t="n"/>
      <c r="G33" s="71" t="n"/>
      <c r="H33" s="71" t="n"/>
      <c r="I33" s="71" t="n"/>
      <c r="J33" s="71" t="n"/>
      <c r="K33" s="89" t="n"/>
    </row>
    <row r="34" customFormat="1" s="79">
      <c r="A34" s="70" t="inlineStr">
        <is>
          <t>OLS_EQP_0031</t>
        </is>
      </c>
      <c r="B34" s="73" t="n"/>
      <c r="C34" s="74" t="n">
        <v>0</v>
      </c>
      <c r="D34" s="119" t="n"/>
      <c r="E34" s="119">
        <f>C34*D34</f>
        <v/>
      </c>
      <c r="F34" s="71" t="n"/>
      <c r="G34" s="71" t="n"/>
      <c r="H34" s="71" t="n"/>
      <c r="I34" s="71" t="n"/>
      <c r="J34" s="71" t="n"/>
      <c r="K34" s="89" t="n"/>
    </row>
    <row r="35">
      <c r="A35" s="70" t="inlineStr">
        <is>
          <t>OLS_EQP_0032</t>
        </is>
      </c>
      <c r="C35" s="74" t="n">
        <v>0</v>
      </c>
      <c r="D35" s="119" t="n"/>
      <c r="E35" s="119">
        <f>C35*D35</f>
        <v/>
      </c>
    </row>
    <row r="36">
      <c r="A36" s="70" t="inlineStr">
        <is>
          <t>OLS_EQP_0033</t>
        </is>
      </c>
      <c r="C36" s="74" t="n">
        <v>0</v>
      </c>
      <c r="D36" s="119" t="n"/>
      <c r="E36" s="119">
        <f>C36*D36</f>
        <v/>
      </c>
    </row>
    <row r="37">
      <c r="A37" s="70" t="inlineStr">
        <is>
          <t>OLS_EQP_0034</t>
        </is>
      </c>
      <c r="C37" s="74" t="n">
        <v>0</v>
      </c>
      <c r="D37" s="119" t="n"/>
      <c r="E37" s="119">
        <f>C37*D37</f>
        <v/>
      </c>
    </row>
    <row r="38">
      <c r="A38" s="70" t="inlineStr">
        <is>
          <t>OLS_EQP_0035</t>
        </is>
      </c>
      <c r="C38" s="74" t="n">
        <v>0</v>
      </c>
      <c r="D38" s="119" t="n"/>
      <c r="E38" s="119">
        <f>C38*D38</f>
        <v/>
      </c>
    </row>
    <row r="39">
      <c r="A39" s="70" t="inlineStr">
        <is>
          <t>OLS_EQP_0036</t>
        </is>
      </c>
      <c r="C39" s="74" t="n">
        <v>0</v>
      </c>
      <c r="D39" s="119" t="n"/>
      <c r="E39" s="119">
        <f>C39*D39</f>
        <v/>
      </c>
    </row>
    <row r="40">
      <c r="A40" s="70" t="inlineStr">
        <is>
          <t>OLS_EQP_0037</t>
        </is>
      </c>
      <c r="C40" s="74" t="n">
        <v>0</v>
      </c>
      <c r="D40" s="119" t="n"/>
      <c r="E40" s="119">
        <f>C40*D40</f>
        <v/>
      </c>
    </row>
    <row r="41">
      <c r="A41" s="70" t="inlineStr">
        <is>
          <t>OLS_EQP_0038</t>
        </is>
      </c>
      <c r="C41" s="74" t="n">
        <v>0</v>
      </c>
      <c r="D41" s="119" t="n"/>
      <c r="E41" s="119">
        <f>C41*D41</f>
        <v/>
      </c>
    </row>
    <row r="42">
      <c r="A42" s="70" t="inlineStr">
        <is>
          <t>OLS_EQP_0039</t>
        </is>
      </c>
      <c r="C42" s="74" t="n">
        <v>0</v>
      </c>
      <c r="D42" s="119" t="n"/>
      <c r="E42" s="119">
        <f>C42*D42</f>
        <v/>
      </c>
    </row>
    <row r="43">
      <c r="A43" s="70" t="inlineStr">
        <is>
          <t>OLS_EQP_0040</t>
        </is>
      </c>
      <c r="C43" s="74" t="n">
        <v>0</v>
      </c>
      <c r="D43" s="119" t="n"/>
      <c r="E43" s="119">
        <f>C43*D43</f>
        <v/>
      </c>
    </row>
    <row r="44">
      <c r="A44" s="70" t="inlineStr">
        <is>
          <t>OLS_EQP_0041</t>
        </is>
      </c>
      <c r="C44" s="74" t="n">
        <v>0</v>
      </c>
      <c r="D44" s="119" t="n"/>
      <c r="E44" s="119">
        <f>C44*D44</f>
        <v/>
      </c>
    </row>
    <row r="45">
      <c r="A45" s="70" t="inlineStr">
        <is>
          <t>OLS_EQP_0042</t>
        </is>
      </c>
      <c r="C45" s="74" t="n">
        <v>0</v>
      </c>
      <c r="D45" s="119" t="n"/>
      <c r="E45" s="119">
        <f>C45*D45</f>
        <v/>
      </c>
    </row>
    <row r="46">
      <c r="A46" s="70" t="inlineStr">
        <is>
          <t>OLS_EQP_0043</t>
        </is>
      </c>
      <c r="C46" s="74" t="n">
        <v>0</v>
      </c>
      <c r="D46" s="119" t="n"/>
      <c r="E46" s="119">
        <f>C46*D46</f>
        <v/>
      </c>
    </row>
    <row r="47">
      <c r="A47" s="70" t="inlineStr">
        <is>
          <t>OLS_EQP_0044</t>
        </is>
      </c>
      <c r="C47" s="74" t="n">
        <v>0</v>
      </c>
      <c r="D47" s="119" t="n"/>
      <c r="E47" s="119">
        <f>C47*D47</f>
        <v/>
      </c>
    </row>
    <row r="48">
      <c r="A48" s="70" t="inlineStr">
        <is>
          <t>OLS_EQP_0045</t>
        </is>
      </c>
      <c r="B48" s="126" t="n"/>
      <c r="C48" s="74" t="n">
        <v>0</v>
      </c>
      <c r="D48" s="119" t="n"/>
      <c r="E48" s="119">
        <f>C48*D48</f>
        <v/>
      </c>
    </row>
    <row r="49">
      <c r="A49" s="70" t="inlineStr">
        <is>
          <t>OLS_EQP_0046</t>
        </is>
      </c>
      <c r="B49" s="126" t="n"/>
      <c r="C49" s="74" t="n">
        <v>0</v>
      </c>
      <c r="D49" s="119" t="n"/>
      <c r="E49" s="119">
        <f>C49*D49</f>
        <v/>
      </c>
    </row>
    <row r="50">
      <c r="A50" s="70" t="inlineStr">
        <is>
          <t>OLS_EQP_0047</t>
        </is>
      </c>
      <c r="B50" s="126" t="n"/>
      <c r="C50" s="74" t="n">
        <v>0</v>
      </c>
      <c r="D50" s="119" t="n"/>
      <c r="E50" s="119">
        <f>C50*D50</f>
        <v/>
      </c>
    </row>
    <row r="51">
      <c r="A51" s="70" t="inlineStr">
        <is>
          <t>OLS_EQP_0048</t>
        </is>
      </c>
      <c r="B51" s="126" t="n"/>
      <c r="C51" s="74" t="n">
        <v>0</v>
      </c>
      <c r="D51" s="119" t="n"/>
      <c r="E51" s="119">
        <f>C51*D51</f>
        <v/>
      </c>
    </row>
    <row r="52">
      <c r="A52" s="70" t="inlineStr">
        <is>
          <t>OLS_EQP_0049</t>
        </is>
      </c>
      <c r="B52" s="126" t="n"/>
      <c r="C52" s="74" t="n">
        <v>0</v>
      </c>
      <c r="D52" s="119" t="n"/>
      <c r="E52" s="119">
        <f>C52*D52</f>
        <v/>
      </c>
    </row>
    <row r="53">
      <c r="A53" s="70" t="inlineStr">
        <is>
          <t>OLS_EQP_0050</t>
        </is>
      </c>
      <c r="B53" s="126" t="n"/>
      <c r="C53" s="74" t="n"/>
      <c r="D53" s="119" t="n"/>
      <c r="E53" s="119">
        <f>C53*D53</f>
        <v/>
      </c>
    </row>
    <row r="54">
      <c r="A54" s="70" t="inlineStr">
        <is>
          <t>OLS_EQP_0051</t>
        </is>
      </c>
      <c r="B54" s="126" t="n"/>
      <c r="C54" s="74" t="n"/>
      <c r="D54" s="119" t="n"/>
      <c r="E54" s="119">
        <f>C54*D54</f>
        <v/>
      </c>
    </row>
    <row r="55">
      <c r="A55" s="70" t="inlineStr">
        <is>
          <t>OLS_EQP_0052</t>
        </is>
      </c>
      <c r="B55" s="126" t="n"/>
      <c r="C55" s="74" t="n"/>
      <c r="D55" s="119" t="n"/>
      <c r="E55" s="119">
        <f>C55*D55</f>
        <v/>
      </c>
    </row>
    <row r="56">
      <c r="A56" s="70" t="inlineStr">
        <is>
          <t>OLS_EQP_0053</t>
        </is>
      </c>
      <c r="B56" s="126" t="n"/>
      <c r="C56" s="74" t="n"/>
      <c r="D56" s="119" t="n"/>
      <c r="E56" s="119">
        <f>C56*D56</f>
        <v/>
      </c>
    </row>
    <row r="57">
      <c r="A57" s="70" t="inlineStr">
        <is>
          <t>OLS_EQP_0054</t>
        </is>
      </c>
      <c r="B57" s="126" t="n"/>
      <c r="C57" s="74" t="n"/>
      <c r="D57" s="119" t="n"/>
      <c r="E57" s="119">
        <f>C57*D57</f>
        <v/>
      </c>
    </row>
    <row r="58">
      <c r="A58" s="70" t="inlineStr">
        <is>
          <t>OLS_EQP_0055</t>
        </is>
      </c>
      <c r="B58" s="126" t="n"/>
      <c r="C58" s="74" t="n"/>
      <c r="D58" s="119" t="n"/>
      <c r="E58" s="119">
        <f>C58*D58</f>
        <v/>
      </c>
    </row>
    <row r="59">
      <c r="A59" s="70" t="inlineStr">
        <is>
          <t>OLS_EQP_0056</t>
        </is>
      </c>
      <c r="B59" s="126" t="n"/>
      <c r="C59" s="74" t="n"/>
      <c r="D59" s="119" t="n"/>
      <c r="E59" s="119">
        <f>C59*D59</f>
        <v/>
      </c>
    </row>
    <row r="60">
      <c r="A60" s="70" t="inlineStr">
        <is>
          <t>OLS_EQP_0057</t>
        </is>
      </c>
      <c r="B60" s="126" t="n"/>
      <c r="C60" s="74" t="n"/>
      <c r="D60" s="119" t="n"/>
      <c r="E60" s="119">
        <f>C60*D60</f>
        <v/>
      </c>
    </row>
    <row r="61">
      <c r="A61" s="70" t="inlineStr">
        <is>
          <t>OLS_EQP_0058</t>
        </is>
      </c>
      <c r="B61" s="126" t="n"/>
      <c r="C61" s="74" t="n"/>
      <c r="D61" s="119" t="n"/>
      <c r="E61" s="119">
        <f>C61*D61</f>
        <v/>
      </c>
    </row>
    <row r="62">
      <c r="A62" s="70" t="inlineStr">
        <is>
          <t>OLS_EQP_0059</t>
        </is>
      </c>
      <c r="B62" s="126" t="n"/>
      <c r="C62" s="74" t="n"/>
      <c r="D62" s="119" t="n"/>
      <c r="E62" s="119">
        <f>C62*D62</f>
        <v/>
      </c>
    </row>
    <row r="63">
      <c r="A63" s="70" t="inlineStr">
        <is>
          <t>OLS_EQP_0060</t>
        </is>
      </c>
      <c r="B63" s="126" t="n"/>
      <c r="C63" s="74" t="n"/>
      <c r="D63" s="119" t="n"/>
      <c r="E63" s="119">
        <f>C63*D63</f>
        <v/>
      </c>
    </row>
    <row r="64">
      <c r="A64" s="70" t="inlineStr">
        <is>
          <t>OLS_EQP_0061</t>
        </is>
      </c>
      <c r="B64" s="126" t="n"/>
      <c r="C64" s="74" t="n"/>
      <c r="D64" s="119" t="n"/>
      <c r="E64" s="119">
        <f>C64*D64</f>
        <v/>
      </c>
    </row>
    <row r="65">
      <c r="A65" s="70" t="inlineStr">
        <is>
          <t>OLS_EQP_0062</t>
        </is>
      </c>
      <c r="B65" s="126" t="n"/>
      <c r="C65" s="74" t="n"/>
      <c r="D65" s="119" t="n"/>
      <c r="E65" s="119">
        <f>C65*D65</f>
        <v/>
      </c>
    </row>
    <row r="66">
      <c r="A66" s="70" t="inlineStr">
        <is>
          <t>OLS_EQP_0063</t>
        </is>
      </c>
      <c r="B66" s="126" t="n"/>
      <c r="C66" s="74" t="n"/>
      <c r="D66" s="119" t="n"/>
      <c r="E66" s="119">
        <f>C66*D66</f>
        <v/>
      </c>
    </row>
    <row r="67">
      <c r="A67" s="70" t="inlineStr">
        <is>
          <t>OLS_EQP_0064</t>
        </is>
      </c>
      <c r="B67" s="126" t="n"/>
      <c r="C67" s="74" t="n"/>
      <c r="D67" s="119" t="n"/>
      <c r="E67" s="119">
        <f>C67*D67</f>
        <v/>
      </c>
    </row>
    <row r="68">
      <c r="A68" s="70" t="inlineStr">
        <is>
          <t>OLS_EQP_0065</t>
        </is>
      </c>
      <c r="B68" s="126" t="n"/>
      <c r="C68" s="74" t="n"/>
      <c r="D68" s="119" t="n"/>
      <c r="E68" s="119">
        <f>C68*D68</f>
        <v/>
      </c>
    </row>
    <row r="69">
      <c r="A69" s="70" t="inlineStr">
        <is>
          <t>OLS_EQP_0066</t>
        </is>
      </c>
      <c r="B69" s="126" t="n"/>
      <c r="C69" s="74" t="n"/>
      <c r="D69" s="119" t="n"/>
      <c r="E69" s="119">
        <f>C69*D69</f>
        <v/>
      </c>
    </row>
    <row r="70">
      <c r="A70" s="70" t="inlineStr">
        <is>
          <t>OLS_EQP_0067</t>
        </is>
      </c>
      <c r="B70" s="126" t="n"/>
      <c r="C70" s="74" t="n"/>
      <c r="D70" s="119" t="n"/>
      <c r="E70" s="119">
        <f>C70*D70</f>
        <v/>
      </c>
    </row>
    <row r="71">
      <c r="A71" s="70" t="inlineStr">
        <is>
          <t>OLS_EQP_0068</t>
        </is>
      </c>
      <c r="B71" s="126" t="n"/>
      <c r="C71" s="74" t="n"/>
      <c r="D71" s="119" t="n"/>
      <c r="E71" s="119">
        <f>C71*D71</f>
        <v/>
      </c>
    </row>
    <row r="72">
      <c r="A72" s="70" t="inlineStr">
        <is>
          <t>OLS_EQP_0069</t>
        </is>
      </c>
      <c r="B72" s="126" t="n"/>
      <c r="C72" s="74" t="n"/>
      <c r="D72" s="119" t="n"/>
      <c r="E72" s="119">
        <f>C72*D72</f>
        <v/>
      </c>
    </row>
  </sheetData>
  <autoFilter ref="A3:E72"/>
  <mergeCells count="2">
    <mergeCell ref="A1:B2"/>
    <mergeCell ref="C1:D1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 codeName="Plan3">
    <outlinePr summaryBelow="1" summaryRight="1"/>
    <pageSetUpPr/>
  </sheetPr>
  <dimension ref="A1:I54"/>
  <sheetViews>
    <sheetView showGridLines="0" tabSelected="1" topLeftCell="B1" workbookViewId="0">
      <selection activeCell="F32" sqref="F32"/>
    </sheetView>
  </sheetViews>
  <sheetFormatPr baseColWidth="8" defaultRowHeight="21.75" customHeight="1"/>
  <cols>
    <col width="1.33203125" customWidth="1" style="16" min="1" max="1"/>
    <col width="81.33203125" customWidth="1" style="16" min="2" max="2"/>
    <col width="13" customWidth="1" style="16" min="3" max="3"/>
    <col width="14.33203125" customWidth="1" style="16" min="4" max="4"/>
    <col width="10.88671875" bestFit="1" customWidth="1" style="16" min="5" max="5"/>
    <col width="19.33203125" customWidth="1" style="16" min="6" max="6"/>
    <col width="13.77734375" customWidth="1" style="16" min="7" max="7"/>
    <col width="10.5546875" customWidth="1" style="16" min="8" max="8"/>
    <col width="10.5546875" bestFit="1" customWidth="1" style="16" min="9" max="9"/>
    <col width="9.109375" customWidth="1" style="16" min="10" max="169"/>
    <col width="54.44140625" customWidth="1" style="16" min="170" max="170"/>
    <col width="14.88671875" customWidth="1" style="16" min="171" max="171"/>
    <col width="19" bestFit="1" customWidth="1" style="16" min="172" max="172"/>
    <col width="18.33203125" customWidth="1" style="16" min="173" max="174"/>
    <col width="9.109375" customWidth="1" style="16" min="175" max="250"/>
    <col width="3" customWidth="1" style="16" min="251" max="251"/>
    <col width="5" bestFit="1" customWidth="1" style="16" min="252" max="252"/>
    <col width="81.88671875" customWidth="1" style="16" min="253" max="253"/>
    <col width="11.44140625" customWidth="1" style="16" min="254" max="254"/>
    <col width="15.88671875" customWidth="1" style="16" min="255" max="255"/>
    <col width="17.33203125" customWidth="1" style="16" min="256" max="256"/>
    <col width="22.33203125" customWidth="1" style="16" min="257" max="257"/>
    <col width="9.109375" customWidth="1" style="16" min="258" max="425"/>
    <col width="54.44140625" customWidth="1" style="16" min="426" max="426"/>
    <col width="14.88671875" customWidth="1" style="16" min="427" max="427"/>
    <col width="19" bestFit="1" customWidth="1" style="16" min="428" max="428"/>
    <col width="18.33203125" customWidth="1" style="16" min="429" max="430"/>
    <col width="9.109375" customWidth="1" style="16" min="431" max="506"/>
    <col width="3" customWidth="1" style="16" min="507" max="507"/>
    <col width="5" bestFit="1" customWidth="1" style="16" min="508" max="508"/>
    <col width="81.88671875" customWidth="1" style="16" min="509" max="509"/>
    <col width="11.44140625" customWidth="1" style="16" min="510" max="510"/>
    <col width="15.88671875" customWidth="1" style="16" min="511" max="511"/>
    <col width="17.33203125" customWidth="1" style="16" min="512" max="512"/>
    <col width="22.33203125" customWidth="1" style="16" min="513" max="513"/>
    <col width="9.109375" customWidth="1" style="16" min="514" max="681"/>
    <col width="54.44140625" customWidth="1" style="16" min="682" max="682"/>
    <col width="14.88671875" customWidth="1" style="16" min="683" max="683"/>
    <col width="19" bestFit="1" customWidth="1" style="16" min="684" max="684"/>
    <col width="18.33203125" customWidth="1" style="16" min="685" max="686"/>
    <col width="9.109375" customWidth="1" style="16" min="687" max="762"/>
    <col width="3" customWidth="1" style="16" min="763" max="763"/>
    <col width="5" bestFit="1" customWidth="1" style="16" min="764" max="764"/>
    <col width="81.88671875" customWidth="1" style="16" min="765" max="765"/>
    <col width="11.44140625" customWidth="1" style="16" min="766" max="766"/>
    <col width="15.88671875" customWidth="1" style="16" min="767" max="767"/>
    <col width="17.33203125" customWidth="1" style="16" min="768" max="768"/>
    <col width="22.33203125" customWidth="1" style="16" min="769" max="769"/>
    <col width="9.109375" customWidth="1" style="16" min="770" max="937"/>
    <col width="54.44140625" customWidth="1" style="16" min="938" max="938"/>
    <col width="14.88671875" customWidth="1" style="16" min="939" max="939"/>
    <col width="19" bestFit="1" customWidth="1" style="16" min="940" max="940"/>
    <col width="18.33203125" customWidth="1" style="16" min="941" max="942"/>
    <col width="9.109375" customWidth="1" style="16" min="943" max="1018"/>
    <col width="3" customWidth="1" style="16" min="1019" max="1019"/>
    <col width="5" bestFit="1" customWidth="1" style="16" min="1020" max="1020"/>
    <col width="81.88671875" customWidth="1" style="16" min="1021" max="1021"/>
    <col width="11.44140625" customWidth="1" style="16" min="1022" max="1022"/>
    <col width="15.88671875" customWidth="1" style="16" min="1023" max="1023"/>
    <col width="17.33203125" customWidth="1" style="16" min="1024" max="1024"/>
    <col width="22.33203125" customWidth="1" style="16" min="1025" max="1025"/>
    <col width="9.109375" customWidth="1" style="16" min="1026" max="1193"/>
    <col width="54.44140625" customWidth="1" style="16" min="1194" max="1194"/>
    <col width="14.88671875" customWidth="1" style="16" min="1195" max="1195"/>
    <col width="19" bestFit="1" customWidth="1" style="16" min="1196" max="1196"/>
    <col width="18.33203125" customWidth="1" style="16" min="1197" max="1198"/>
    <col width="9.109375" customWidth="1" style="16" min="1199" max="1274"/>
    <col width="3" customWidth="1" style="16" min="1275" max="1275"/>
    <col width="5" bestFit="1" customWidth="1" style="16" min="1276" max="1276"/>
    <col width="81.88671875" customWidth="1" style="16" min="1277" max="1277"/>
    <col width="11.44140625" customWidth="1" style="16" min="1278" max="1278"/>
    <col width="15.88671875" customWidth="1" style="16" min="1279" max="1279"/>
    <col width="17.33203125" customWidth="1" style="16" min="1280" max="1280"/>
    <col width="22.33203125" customWidth="1" style="16" min="1281" max="1281"/>
    <col width="9.109375" customWidth="1" style="16" min="1282" max="1449"/>
    <col width="54.44140625" customWidth="1" style="16" min="1450" max="1450"/>
    <col width="14.88671875" customWidth="1" style="16" min="1451" max="1451"/>
    <col width="19" bestFit="1" customWidth="1" style="16" min="1452" max="1452"/>
    <col width="18.33203125" customWidth="1" style="16" min="1453" max="1454"/>
    <col width="9.109375" customWidth="1" style="16" min="1455" max="1530"/>
    <col width="3" customWidth="1" style="16" min="1531" max="1531"/>
    <col width="5" bestFit="1" customWidth="1" style="16" min="1532" max="1532"/>
    <col width="81.88671875" customWidth="1" style="16" min="1533" max="1533"/>
    <col width="11.44140625" customWidth="1" style="16" min="1534" max="1534"/>
    <col width="15.88671875" customWidth="1" style="16" min="1535" max="1535"/>
    <col width="17.33203125" customWidth="1" style="16" min="1536" max="1536"/>
    <col width="22.33203125" customWidth="1" style="16" min="1537" max="1537"/>
    <col width="9.109375" customWidth="1" style="16" min="1538" max="1705"/>
    <col width="54.44140625" customWidth="1" style="16" min="1706" max="1706"/>
    <col width="14.88671875" customWidth="1" style="16" min="1707" max="1707"/>
    <col width="19" bestFit="1" customWidth="1" style="16" min="1708" max="1708"/>
    <col width="18.33203125" customWidth="1" style="16" min="1709" max="1710"/>
    <col width="9.109375" customWidth="1" style="16" min="1711" max="1786"/>
    <col width="3" customWidth="1" style="16" min="1787" max="1787"/>
    <col width="5" bestFit="1" customWidth="1" style="16" min="1788" max="1788"/>
    <col width="81.88671875" customWidth="1" style="16" min="1789" max="1789"/>
    <col width="11.44140625" customWidth="1" style="16" min="1790" max="1790"/>
    <col width="15.88671875" customWidth="1" style="16" min="1791" max="1791"/>
    <col width="17.33203125" customWidth="1" style="16" min="1792" max="1792"/>
    <col width="22.33203125" customWidth="1" style="16" min="1793" max="1793"/>
    <col width="9.109375" customWidth="1" style="16" min="1794" max="1961"/>
    <col width="54.44140625" customWidth="1" style="16" min="1962" max="1962"/>
    <col width="14.88671875" customWidth="1" style="16" min="1963" max="1963"/>
    <col width="19" bestFit="1" customWidth="1" style="16" min="1964" max="1964"/>
    <col width="18.33203125" customWidth="1" style="16" min="1965" max="1966"/>
    <col width="9.109375" customWidth="1" style="16" min="1967" max="2042"/>
    <col width="3" customWidth="1" style="16" min="2043" max="2043"/>
    <col width="5" bestFit="1" customWidth="1" style="16" min="2044" max="2044"/>
    <col width="81.88671875" customWidth="1" style="16" min="2045" max="2045"/>
    <col width="11.44140625" customWidth="1" style="16" min="2046" max="2046"/>
    <col width="15.88671875" customWidth="1" style="16" min="2047" max="2047"/>
    <col width="17.33203125" customWidth="1" style="16" min="2048" max="2048"/>
    <col width="22.33203125" customWidth="1" style="16" min="2049" max="2049"/>
    <col width="9.109375" customWidth="1" style="16" min="2050" max="2217"/>
    <col width="54.44140625" customWidth="1" style="16" min="2218" max="2218"/>
    <col width="14.88671875" customWidth="1" style="16" min="2219" max="2219"/>
    <col width="19" bestFit="1" customWidth="1" style="16" min="2220" max="2220"/>
    <col width="18.33203125" customWidth="1" style="16" min="2221" max="2222"/>
    <col width="9.109375" customWidth="1" style="16" min="2223" max="2298"/>
    <col width="3" customWidth="1" style="16" min="2299" max="2299"/>
    <col width="5" bestFit="1" customWidth="1" style="16" min="2300" max="2300"/>
    <col width="81.88671875" customWidth="1" style="16" min="2301" max="2301"/>
    <col width="11.44140625" customWidth="1" style="16" min="2302" max="2302"/>
    <col width="15.88671875" customWidth="1" style="16" min="2303" max="2303"/>
    <col width="17.33203125" customWidth="1" style="16" min="2304" max="2304"/>
    <col width="22.33203125" customWidth="1" style="16" min="2305" max="2305"/>
    <col width="9.109375" customWidth="1" style="16" min="2306" max="2473"/>
    <col width="54.44140625" customWidth="1" style="16" min="2474" max="2474"/>
    <col width="14.88671875" customWidth="1" style="16" min="2475" max="2475"/>
    <col width="19" bestFit="1" customWidth="1" style="16" min="2476" max="2476"/>
    <col width="18.33203125" customWidth="1" style="16" min="2477" max="2478"/>
    <col width="9.109375" customWidth="1" style="16" min="2479" max="2554"/>
    <col width="3" customWidth="1" style="16" min="2555" max="2555"/>
    <col width="5" bestFit="1" customWidth="1" style="16" min="2556" max="2556"/>
    <col width="81.88671875" customWidth="1" style="16" min="2557" max="2557"/>
    <col width="11.44140625" customWidth="1" style="16" min="2558" max="2558"/>
    <col width="15.88671875" customWidth="1" style="16" min="2559" max="2559"/>
    <col width="17.33203125" customWidth="1" style="16" min="2560" max="2560"/>
    <col width="22.33203125" customWidth="1" style="16" min="2561" max="2561"/>
    <col width="9.109375" customWidth="1" style="16" min="2562" max="2729"/>
    <col width="54.44140625" customWidth="1" style="16" min="2730" max="2730"/>
    <col width="14.88671875" customWidth="1" style="16" min="2731" max="2731"/>
    <col width="19" bestFit="1" customWidth="1" style="16" min="2732" max="2732"/>
    <col width="18.33203125" customWidth="1" style="16" min="2733" max="2734"/>
    <col width="9.109375" customWidth="1" style="16" min="2735" max="2810"/>
    <col width="3" customWidth="1" style="16" min="2811" max="2811"/>
    <col width="5" bestFit="1" customWidth="1" style="16" min="2812" max="2812"/>
    <col width="81.88671875" customWidth="1" style="16" min="2813" max="2813"/>
    <col width="11.44140625" customWidth="1" style="16" min="2814" max="2814"/>
    <col width="15.88671875" customWidth="1" style="16" min="2815" max="2815"/>
    <col width="17.33203125" customWidth="1" style="16" min="2816" max="2816"/>
    <col width="22.33203125" customWidth="1" style="16" min="2817" max="2817"/>
    <col width="9.109375" customWidth="1" style="16" min="2818" max="2985"/>
    <col width="54.44140625" customWidth="1" style="16" min="2986" max="2986"/>
    <col width="14.88671875" customWidth="1" style="16" min="2987" max="2987"/>
    <col width="19" bestFit="1" customWidth="1" style="16" min="2988" max="2988"/>
    <col width="18.33203125" customWidth="1" style="16" min="2989" max="2990"/>
    <col width="9.109375" customWidth="1" style="16" min="2991" max="3066"/>
    <col width="3" customWidth="1" style="16" min="3067" max="3067"/>
    <col width="5" bestFit="1" customWidth="1" style="16" min="3068" max="3068"/>
    <col width="81.88671875" customWidth="1" style="16" min="3069" max="3069"/>
    <col width="11.44140625" customWidth="1" style="16" min="3070" max="3070"/>
    <col width="15.88671875" customWidth="1" style="16" min="3071" max="3071"/>
    <col width="17.33203125" customWidth="1" style="16" min="3072" max="3072"/>
    <col width="22.33203125" customWidth="1" style="16" min="3073" max="3073"/>
    <col width="9.109375" customWidth="1" style="16" min="3074" max="3241"/>
    <col width="54.44140625" customWidth="1" style="16" min="3242" max="3242"/>
    <col width="14.88671875" customWidth="1" style="16" min="3243" max="3243"/>
    <col width="19" bestFit="1" customWidth="1" style="16" min="3244" max="3244"/>
    <col width="18.33203125" customWidth="1" style="16" min="3245" max="3246"/>
    <col width="9.109375" customWidth="1" style="16" min="3247" max="3322"/>
    <col width="3" customWidth="1" style="16" min="3323" max="3323"/>
    <col width="5" bestFit="1" customWidth="1" style="16" min="3324" max="3324"/>
    <col width="81.88671875" customWidth="1" style="16" min="3325" max="3325"/>
    <col width="11.44140625" customWidth="1" style="16" min="3326" max="3326"/>
    <col width="15.88671875" customWidth="1" style="16" min="3327" max="3327"/>
    <col width="17.33203125" customWidth="1" style="16" min="3328" max="3328"/>
    <col width="22.33203125" customWidth="1" style="16" min="3329" max="3329"/>
    <col width="9.109375" customWidth="1" style="16" min="3330" max="3497"/>
    <col width="54.44140625" customWidth="1" style="16" min="3498" max="3498"/>
    <col width="14.88671875" customWidth="1" style="16" min="3499" max="3499"/>
    <col width="19" bestFit="1" customWidth="1" style="16" min="3500" max="3500"/>
    <col width="18.33203125" customWidth="1" style="16" min="3501" max="3502"/>
    <col width="9.109375" customWidth="1" style="16" min="3503" max="3578"/>
    <col width="3" customWidth="1" style="16" min="3579" max="3579"/>
    <col width="5" bestFit="1" customWidth="1" style="16" min="3580" max="3580"/>
    <col width="81.88671875" customWidth="1" style="16" min="3581" max="3581"/>
    <col width="11.44140625" customWidth="1" style="16" min="3582" max="3582"/>
    <col width="15.88671875" customWidth="1" style="16" min="3583" max="3583"/>
    <col width="17.33203125" customWidth="1" style="16" min="3584" max="3584"/>
    <col width="22.33203125" customWidth="1" style="16" min="3585" max="3585"/>
    <col width="9.109375" customWidth="1" style="16" min="3586" max="3753"/>
    <col width="54.44140625" customWidth="1" style="16" min="3754" max="3754"/>
    <col width="14.88671875" customWidth="1" style="16" min="3755" max="3755"/>
    <col width="19" bestFit="1" customWidth="1" style="16" min="3756" max="3756"/>
    <col width="18.33203125" customWidth="1" style="16" min="3757" max="3758"/>
    <col width="9.109375" customWidth="1" style="16" min="3759" max="3834"/>
    <col width="3" customWidth="1" style="16" min="3835" max="3835"/>
    <col width="5" bestFit="1" customWidth="1" style="16" min="3836" max="3836"/>
    <col width="81.88671875" customWidth="1" style="16" min="3837" max="3837"/>
    <col width="11.44140625" customWidth="1" style="16" min="3838" max="3838"/>
    <col width="15.88671875" customWidth="1" style="16" min="3839" max="3839"/>
    <col width="17.33203125" customWidth="1" style="16" min="3840" max="3840"/>
    <col width="22.33203125" customWidth="1" style="16" min="3841" max="3841"/>
    <col width="9.109375" customWidth="1" style="16" min="3842" max="4009"/>
    <col width="54.44140625" customWidth="1" style="16" min="4010" max="4010"/>
    <col width="14.88671875" customWidth="1" style="16" min="4011" max="4011"/>
    <col width="19" bestFit="1" customWidth="1" style="16" min="4012" max="4012"/>
    <col width="18.33203125" customWidth="1" style="16" min="4013" max="4014"/>
    <col width="9.109375" customWidth="1" style="16" min="4015" max="4090"/>
    <col width="3" customWidth="1" style="16" min="4091" max="4091"/>
    <col width="5" bestFit="1" customWidth="1" style="16" min="4092" max="4092"/>
    <col width="81.88671875" customWidth="1" style="16" min="4093" max="4093"/>
    <col width="11.44140625" customWidth="1" style="16" min="4094" max="4094"/>
    <col width="15.88671875" customWidth="1" style="16" min="4095" max="4095"/>
    <col width="17.33203125" customWidth="1" style="16" min="4096" max="4096"/>
    <col width="22.33203125" customWidth="1" style="16" min="4097" max="4097"/>
    <col width="9.109375" customWidth="1" style="16" min="4098" max="4265"/>
    <col width="54.44140625" customWidth="1" style="16" min="4266" max="4266"/>
    <col width="14.88671875" customWidth="1" style="16" min="4267" max="4267"/>
    <col width="19" bestFit="1" customWidth="1" style="16" min="4268" max="4268"/>
    <col width="18.33203125" customWidth="1" style="16" min="4269" max="4270"/>
    <col width="9.109375" customWidth="1" style="16" min="4271" max="4346"/>
    <col width="3" customWidth="1" style="16" min="4347" max="4347"/>
    <col width="5" bestFit="1" customWidth="1" style="16" min="4348" max="4348"/>
    <col width="81.88671875" customWidth="1" style="16" min="4349" max="4349"/>
    <col width="11.44140625" customWidth="1" style="16" min="4350" max="4350"/>
    <col width="15.88671875" customWidth="1" style="16" min="4351" max="4351"/>
    <col width="17.33203125" customWidth="1" style="16" min="4352" max="4352"/>
    <col width="22.33203125" customWidth="1" style="16" min="4353" max="4353"/>
    <col width="9.109375" customWidth="1" style="16" min="4354" max="4521"/>
    <col width="54.44140625" customWidth="1" style="16" min="4522" max="4522"/>
    <col width="14.88671875" customWidth="1" style="16" min="4523" max="4523"/>
    <col width="19" bestFit="1" customWidth="1" style="16" min="4524" max="4524"/>
    <col width="18.33203125" customWidth="1" style="16" min="4525" max="4526"/>
    <col width="9.109375" customWidth="1" style="16" min="4527" max="4602"/>
    <col width="3" customWidth="1" style="16" min="4603" max="4603"/>
    <col width="5" bestFit="1" customWidth="1" style="16" min="4604" max="4604"/>
    <col width="81.88671875" customWidth="1" style="16" min="4605" max="4605"/>
    <col width="11.44140625" customWidth="1" style="16" min="4606" max="4606"/>
    <col width="15.88671875" customWidth="1" style="16" min="4607" max="4607"/>
    <col width="17.33203125" customWidth="1" style="16" min="4608" max="4608"/>
    <col width="22.33203125" customWidth="1" style="16" min="4609" max="4609"/>
    <col width="9.109375" customWidth="1" style="16" min="4610" max="4777"/>
    <col width="54.44140625" customWidth="1" style="16" min="4778" max="4778"/>
    <col width="14.88671875" customWidth="1" style="16" min="4779" max="4779"/>
    <col width="19" bestFit="1" customWidth="1" style="16" min="4780" max="4780"/>
    <col width="18.33203125" customWidth="1" style="16" min="4781" max="4782"/>
    <col width="9.109375" customWidth="1" style="16" min="4783" max="4858"/>
    <col width="3" customWidth="1" style="16" min="4859" max="4859"/>
    <col width="5" bestFit="1" customWidth="1" style="16" min="4860" max="4860"/>
    <col width="81.88671875" customWidth="1" style="16" min="4861" max="4861"/>
    <col width="11.44140625" customWidth="1" style="16" min="4862" max="4862"/>
    <col width="15.88671875" customWidth="1" style="16" min="4863" max="4863"/>
    <col width="17.33203125" customWidth="1" style="16" min="4864" max="4864"/>
    <col width="22.33203125" customWidth="1" style="16" min="4865" max="4865"/>
    <col width="9.109375" customWidth="1" style="16" min="4866" max="5033"/>
    <col width="54.44140625" customWidth="1" style="16" min="5034" max="5034"/>
    <col width="14.88671875" customWidth="1" style="16" min="5035" max="5035"/>
    <col width="19" bestFit="1" customWidth="1" style="16" min="5036" max="5036"/>
    <col width="18.33203125" customWidth="1" style="16" min="5037" max="5038"/>
    <col width="9.109375" customWidth="1" style="16" min="5039" max="5114"/>
    <col width="3" customWidth="1" style="16" min="5115" max="5115"/>
    <col width="5" bestFit="1" customWidth="1" style="16" min="5116" max="5116"/>
    <col width="81.88671875" customWidth="1" style="16" min="5117" max="5117"/>
    <col width="11.44140625" customWidth="1" style="16" min="5118" max="5118"/>
    <col width="15.88671875" customWidth="1" style="16" min="5119" max="5119"/>
    <col width="17.33203125" customWidth="1" style="16" min="5120" max="5120"/>
    <col width="22.33203125" customWidth="1" style="16" min="5121" max="5121"/>
    <col width="9.109375" customWidth="1" style="16" min="5122" max="5289"/>
    <col width="54.44140625" customWidth="1" style="16" min="5290" max="5290"/>
    <col width="14.88671875" customWidth="1" style="16" min="5291" max="5291"/>
    <col width="19" bestFit="1" customWidth="1" style="16" min="5292" max="5292"/>
    <col width="18.33203125" customWidth="1" style="16" min="5293" max="5294"/>
    <col width="9.109375" customWidth="1" style="16" min="5295" max="5370"/>
    <col width="3" customWidth="1" style="16" min="5371" max="5371"/>
    <col width="5" bestFit="1" customWidth="1" style="16" min="5372" max="5372"/>
    <col width="81.88671875" customWidth="1" style="16" min="5373" max="5373"/>
    <col width="11.44140625" customWidth="1" style="16" min="5374" max="5374"/>
    <col width="15.88671875" customWidth="1" style="16" min="5375" max="5375"/>
    <col width="17.33203125" customWidth="1" style="16" min="5376" max="5376"/>
    <col width="22.33203125" customWidth="1" style="16" min="5377" max="5377"/>
    <col width="9.109375" customWidth="1" style="16" min="5378" max="5545"/>
    <col width="54.44140625" customWidth="1" style="16" min="5546" max="5546"/>
    <col width="14.88671875" customWidth="1" style="16" min="5547" max="5547"/>
    <col width="19" bestFit="1" customWidth="1" style="16" min="5548" max="5548"/>
    <col width="18.33203125" customWidth="1" style="16" min="5549" max="5550"/>
    <col width="9.109375" customWidth="1" style="16" min="5551" max="5626"/>
    <col width="3" customWidth="1" style="16" min="5627" max="5627"/>
    <col width="5" bestFit="1" customWidth="1" style="16" min="5628" max="5628"/>
    <col width="81.88671875" customWidth="1" style="16" min="5629" max="5629"/>
    <col width="11.44140625" customWidth="1" style="16" min="5630" max="5630"/>
    <col width="15.88671875" customWidth="1" style="16" min="5631" max="5631"/>
    <col width="17.33203125" customWidth="1" style="16" min="5632" max="5632"/>
    <col width="22.33203125" customWidth="1" style="16" min="5633" max="5633"/>
    <col width="9.109375" customWidth="1" style="16" min="5634" max="5801"/>
    <col width="54.44140625" customWidth="1" style="16" min="5802" max="5802"/>
    <col width="14.88671875" customWidth="1" style="16" min="5803" max="5803"/>
    <col width="19" bestFit="1" customWidth="1" style="16" min="5804" max="5804"/>
    <col width="18.33203125" customWidth="1" style="16" min="5805" max="5806"/>
    <col width="9.109375" customWidth="1" style="16" min="5807" max="5882"/>
    <col width="3" customWidth="1" style="16" min="5883" max="5883"/>
    <col width="5" bestFit="1" customWidth="1" style="16" min="5884" max="5884"/>
    <col width="81.88671875" customWidth="1" style="16" min="5885" max="5885"/>
    <col width="11.44140625" customWidth="1" style="16" min="5886" max="5886"/>
    <col width="15.88671875" customWidth="1" style="16" min="5887" max="5887"/>
    <col width="17.33203125" customWidth="1" style="16" min="5888" max="5888"/>
    <col width="22.33203125" customWidth="1" style="16" min="5889" max="5889"/>
    <col width="9.109375" customWidth="1" style="16" min="5890" max="6057"/>
    <col width="54.44140625" customWidth="1" style="16" min="6058" max="6058"/>
    <col width="14.88671875" customWidth="1" style="16" min="6059" max="6059"/>
    <col width="19" bestFit="1" customWidth="1" style="16" min="6060" max="6060"/>
    <col width="18.33203125" customWidth="1" style="16" min="6061" max="6062"/>
    <col width="9.109375" customWidth="1" style="16" min="6063" max="6138"/>
    <col width="3" customWidth="1" style="16" min="6139" max="6139"/>
    <col width="5" bestFit="1" customWidth="1" style="16" min="6140" max="6140"/>
    <col width="81.88671875" customWidth="1" style="16" min="6141" max="6141"/>
    <col width="11.44140625" customWidth="1" style="16" min="6142" max="6142"/>
    <col width="15.88671875" customWidth="1" style="16" min="6143" max="6143"/>
    <col width="17.33203125" customWidth="1" style="16" min="6144" max="6144"/>
    <col width="22.33203125" customWidth="1" style="16" min="6145" max="6145"/>
    <col width="9.109375" customWidth="1" style="16" min="6146" max="6313"/>
    <col width="54.44140625" customWidth="1" style="16" min="6314" max="6314"/>
    <col width="14.88671875" customWidth="1" style="16" min="6315" max="6315"/>
    <col width="19" bestFit="1" customWidth="1" style="16" min="6316" max="6316"/>
    <col width="18.33203125" customWidth="1" style="16" min="6317" max="6318"/>
    <col width="9.109375" customWidth="1" style="16" min="6319" max="6394"/>
    <col width="3" customWidth="1" style="16" min="6395" max="6395"/>
    <col width="5" bestFit="1" customWidth="1" style="16" min="6396" max="6396"/>
    <col width="81.88671875" customWidth="1" style="16" min="6397" max="6397"/>
    <col width="11.44140625" customWidth="1" style="16" min="6398" max="6398"/>
    <col width="15.88671875" customWidth="1" style="16" min="6399" max="6399"/>
    <col width="17.33203125" customWidth="1" style="16" min="6400" max="6400"/>
    <col width="22.33203125" customWidth="1" style="16" min="6401" max="6401"/>
    <col width="9.109375" customWidth="1" style="16" min="6402" max="6569"/>
    <col width="54.44140625" customWidth="1" style="16" min="6570" max="6570"/>
    <col width="14.88671875" customWidth="1" style="16" min="6571" max="6571"/>
    <col width="19" bestFit="1" customWidth="1" style="16" min="6572" max="6572"/>
    <col width="18.33203125" customWidth="1" style="16" min="6573" max="6574"/>
    <col width="9.109375" customWidth="1" style="16" min="6575" max="6650"/>
    <col width="3" customWidth="1" style="16" min="6651" max="6651"/>
    <col width="5" bestFit="1" customWidth="1" style="16" min="6652" max="6652"/>
    <col width="81.88671875" customWidth="1" style="16" min="6653" max="6653"/>
    <col width="11.44140625" customWidth="1" style="16" min="6654" max="6654"/>
    <col width="15.88671875" customWidth="1" style="16" min="6655" max="6655"/>
    <col width="17.33203125" customWidth="1" style="16" min="6656" max="6656"/>
    <col width="22.33203125" customWidth="1" style="16" min="6657" max="6657"/>
    <col width="9.109375" customWidth="1" style="16" min="6658" max="6825"/>
    <col width="54.44140625" customWidth="1" style="16" min="6826" max="6826"/>
    <col width="14.88671875" customWidth="1" style="16" min="6827" max="6827"/>
    <col width="19" bestFit="1" customWidth="1" style="16" min="6828" max="6828"/>
    <col width="18.33203125" customWidth="1" style="16" min="6829" max="6830"/>
    <col width="9.109375" customWidth="1" style="16" min="6831" max="6906"/>
    <col width="3" customWidth="1" style="16" min="6907" max="6907"/>
    <col width="5" bestFit="1" customWidth="1" style="16" min="6908" max="6908"/>
    <col width="81.88671875" customWidth="1" style="16" min="6909" max="6909"/>
    <col width="11.44140625" customWidth="1" style="16" min="6910" max="6910"/>
    <col width="15.88671875" customWidth="1" style="16" min="6911" max="6911"/>
    <col width="17.33203125" customWidth="1" style="16" min="6912" max="6912"/>
    <col width="22.33203125" customWidth="1" style="16" min="6913" max="6913"/>
    <col width="9.109375" customWidth="1" style="16" min="6914" max="7081"/>
    <col width="54.44140625" customWidth="1" style="16" min="7082" max="7082"/>
    <col width="14.88671875" customWidth="1" style="16" min="7083" max="7083"/>
    <col width="19" bestFit="1" customWidth="1" style="16" min="7084" max="7084"/>
    <col width="18.33203125" customWidth="1" style="16" min="7085" max="7086"/>
    <col width="9.109375" customWidth="1" style="16" min="7087" max="7162"/>
    <col width="3" customWidth="1" style="16" min="7163" max="7163"/>
    <col width="5" bestFit="1" customWidth="1" style="16" min="7164" max="7164"/>
    <col width="81.88671875" customWidth="1" style="16" min="7165" max="7165"/>
    <col width="11.44140625" customWidth="1" style="16" min="7166" max="7166"/>
    <col width="15.88671875" customWidth="1" style="16" min="7167" max="7167"/>
    <col width="17.33203125" customWidth="1" style="16" min="7168" max="7168"/>
    <col width="22.33203125" customWidth="1" style="16" min="7169" max="7169"/>
    <col width="9.109375" customWidth="1" style="16" min="7170" max="7337"/>
    <col width="54.44140625" customWidth="1" style="16" min="7338" max="7338"/>
    <col width="14.88671875" customWidth="1" style="16" min="7339" max="7339"/>
    <col width="19" bestFit="1" customWidth="1" style="16" min="7340" max="7340"/>
    <col width="18.33203125" customWidth="1" style="16" min="7341" max="7342"/>
    <col width="9.109375" customWidth="1" style="16" min="7343" max="7418"/>
    <col width="3" customWidth="1" style="16" min="7419" max="7419"/>
    <col width="5" bestFit="1" customWidth="1" style="16" min="7420" max="7420"/>
    <col width="81.88671875" customWidth="1" style="16" min="7421" max="7421"/>
    <col width="11.44140625" customWidth="1" style="16" min="7422" max="7422"/>
    <col width="15.88671875" customWidth="1" style="16" min="7423" max="7423"/>
    <col width="17.33203125" customWidth="1" style="16" min="7424" max="7424"/>
    <col width="22.33203125" customWidth="1" style="16" min="7425" max="7425"/>
    <col width="9.109375" customWidth="1" style="16" min="7426" max="7593"/>
    <col width="54.44140625" customWidth="1" style="16" min="7594" max="7594"/>
    <col width="14.88671875" customWidth="1" style="16" min="7595" max="7595"/>
    <col width="19" bestFit="1" customWidth="1" style="16" min="7596" max="7596"/>
    <col width="18.33203125" customWidth="1" style="16" min="7597" max="7598"/>
    <col width="9.109375" customWidth="1" style="16" min="7599" max="7674"/>
    <col width="3" customWidth="1" style="16" min="7675" max="7675"/>
    <col width="5" bestFit="1" customWidth="1" style="16" min="7676" max="7676"/>
    <col width="81.88671875" customWidth="1" style="16" min="7677" max="7677"/>
    <col width="11.44140625" customWidth="1" style="16" min="7678" max="7678"/>
    <col width="15.88671875" customWidth="1" style="16" min="7679" max="7679"/>
    <col width="17.33203125" customWidth="1" style="16" min="7680" max="7680"/>
    <col width="22.33203125" customWidth="1" style="16" min="7681" max="7681"/>
    <col width="9.109375" customWidth="1" style="16" min="7682" max="7849"/>
    <col width="54.44140625" customWidth="1" style="16" min="7850" max="7850"/>
    <col width="14.88671875" customWidth="1" style="16" min="7851" max="7851"/>
    <col width="19" bestFit="1" customWidth="1" style="16" min="7852" max="7852"/>
    <col width="18.33203125" customWidth="1" style="16" min="7853" max="7854"/>
    <col width="9.109375" customWidth="1" style="16" min="7855" max="7930"/>
    <col width="3" customWidth="1" style="16" min="7931" max="7931"/>
    <col width="5" bestFit="1" customWidth="1" style="16" min="7932" max="7932"/>
    <col width="81.88671875" customWidth="1" style="16" min="7933" max="7933"/>
    <col width="11.44140625" customWidth="1" style="16" min="7934" max="7934"/>
    <col width="15.88671875" customWidth="1" style="16" min="7935" max="7935"/>
    <col width="17.33203125" customWidth="1" style="16" min="7936" max="7936"/>
    <col width="22.33203125" customWidth="1" style="16" min="7937" max="7937"/>
    <col width="9.109375" customWidth="1" style="16" min="7938" max="8105"/>
    <col width="54.44140625" customWidth="1" style="16" min="8106" max="8106"/>
    <col width="14.88671875" customWidth="1" style="16" min="8107" max="8107"/>
    <col width="19" bestFit="1" customWidth="1" style="16" min="8108" max="8108"/>
    <col width="18.33203125" customWidth="1" style="16" min="8109" max="8110"/>
    <col width="9.109375" customWidth="1" style="16" min="8111" max="8186"/>
    <col width="3" customWidth="1" style="16" min="8187" max="8187"/>
    <col width="5" bestFit="1" customWidth="1" style="16" min="8188" max="8188"/>
    <col width="81.88671875" customWidth="1" style="16" min="8189" max="8189"/>
    <col width="11.44140625" customWidth="1" style="16" min="8190" max="8190"/>
    <col width="15.88671875" customWidth="1" style="16" min="8191" max="8191"/>
    <col width="17.33203125" customWidth="1" style="16" min="8192" max="8192"/>
    <col width="22.33203125" customWidth="1" style="16" min="8193" max="8193"/>
    <col width="9.109375" customWidth="1" style="16" min="8194" max="8361"/>
    <col width="54.44140625" customWidth="1" style="16" min="8362" max="8362"/>
    <col width="14.88671875" customWidth="1" style="16" min="8363" max="8363"/>
    <col width="19" bestFit="1" customWidth="1" style="16" min="8364" max="8364"/>
    <col width="18.33203125" customWidth="1" style="16" min="8365" max="8366"/>
    <col width="9.109375" customWidth="1" style="16" min="8367" max="8442"/>
    <col width="3" customWidth="1" style="16" min="8443" max="8443"/>
    <col width="5" bestFit="1" customWidth="1" style="16" min="8444" max="8444"/>
    <col width="81.88671875" customWidth="1" style="16" min="8445" max="8445"/>
    <col width="11.44140625" customWidth="1" style="16" min="8446" max="8446"/>
    <col width="15.88671875" customWidth="1" style="16" min="8447" max="8447"/>
    <col width="17.33203125" customWidth="1" style="16" min="8448" max="8448"/>
    <col width="22.33203125" customWidth="1" style="16" min="8449" max="8449"/>
    <col width="9.109375" customWidth="1" style="16" min="8450" max="8617"/>
    <col width="54.44140625" customWidth="1" style="16" min="8618" max="8618"/>
    <col width="14.88671875" customWidth="1" style="16" min="8619" max="8619"/>
    <col width="19" bestFit="1" customWidth="1" style="16" min="8620" max="8620"/>
    <col width="18.33203125" customWidth="1" style="16" min="8621" max="8622"/>
    <col width="9.109375" customWidth="1" style="16" min="8623" max="8698"/>
    <col width="3" customWidth="1" style="16" min="8699" max="8699"/>
    <col width="5" bestFit="1" customWidth="1" style="16" min="8700" max="8700"/>
    <col width="81.88671875" customWidth="1" style="16" min="8701" max="8701"/>
    <col width="11.44140625" customWidth="1" style="16" min="8702" max="8702"/>
    <col width="15.88671875" customWidth="1" style="16" min="8703" max="8703"/>
    <col width="17.33203125" customWidth="1" style="16" min="8704" max="8704"/>
    <col width="22.33203125" customWidth="1" style="16" min="8705" max="8705"/>
    <col width="9.109375" customWidth="1" style="16" min="8706" max="8873"/>
    <col width="54.44140625" customWidth="1" style="16" min="8874" max="8874"/>
    <col width="14.88671875" customWidth="1" style="16" min="8875" max="8875"/>
    <col width="19" bestFit="1" customWidth="1" style="16" min="8876" max="8876"/>
    <col width="18.33203125" customWidth="1" style="16" min="8877" max="8878"/>
    <col width="9.109375" customWidth="1" style="16" min="8879" max="8954"/>
    <col width="3" customWidth="1" style="16" min="8955" max="8955"/>
    <col width="5" bestFit="1" customWidth="1" style="16" min="8956" max="8956"/>
    <col width="81.88671875" customWidth="1" style="16" min="8957" max="8957"/>
    <col width="11.44140625" customWidth="1" style="16" min="8958" max="8958"/>
    <col width="15.88671875" customWidth="1" style="16" min="8959" max="8959"/>
    <col width="17.33203125" customWidth="1" style="16" min="8960" max="8960"/>
    <col width="22.33203125" customWidth="1" style="16" min="8961" max="8961"/>
    <col width="9.109375" customWidth="1" style="16" min="8962" max="9129"/>
    <col width="54.44140625" customWidth="1" style="16" min="9130" max="9130"/>
    <col width="14.88671875" customWidth="1" style="16" min="9131" max="9131"/>
    <col width="19" bestFit="1" customWidth="1" style="16" min="9132" max="9132"/>
    <col width="18.33203125" customWidth="1" style="16" min="9133" max="9134"/>
    <col width="9.109375" customWidth="1" style="16" min="9135" max="9210"/>
    <col width="3" customWidth="1" style="16" min="9211" max="9211"/>
    <col width="5" bestFit="1" customWidth="1" style="16" min="9212" max="9212"/>
    <col width="81.88671875" customWidth="1" style="16" min="9213" max="9213"/>
    <col width="11.44140625" customWidth="1" style="16" min="9214" max="9214"/>
    <col width="15.88671875" customWidth="1" style="16" min="9215" max="9215"/>
    <col width="17.33203125" customWidth="1" style="16" min="9216" max="9216"/>
    <col width="22.33203125" customWidth="1" style="16" min="9217" max="9217"/>
    <col width="9.109375" customWidth="1" style="16" min="9218" max="9385"/>
    <col width="54.44140625" customWidth="1" style="16" min="9386" max="9386"/>
    <col width="14.88671875" customWidth="1" style="16" min="9387" max="9387"/>
    <col width="19" bestFit="1" customWidth="1" style="16" min="9388" max="9388"/>
    <col width="18.33203125" customWidth="1" style="16" min="9389" max="9390"/>
    <col width="9.109375" customWidth="1" style="16" min="9391" max="9466"/>
    <col width="3" customWidth="1" style="16" min="9467" max="9467"/>
    <col width="5" bestFit="1" customWidth="1" style="16" min="9468" max="9468"/>
    <col width="81.88671875" customWidth="1" style="16" min="9469" max="9469"/>
    <col width="11.44140625" customWidth="1" style="16" min="9470" max="9470"/>
    <col width="15.88671875" customWidth="1" style="16" min="9471" max="9471"/>
    <col width="17.33203125" customWidth="1" style="16" min="9472" max="9472"/>
    <col width="22.33203125" customWidth="1" style="16" min="9473" max="9473"/>
    <col width="9.109375" customWidth="1" style="16" min="9474" max="9641"/>
    <col width="54.44140625" customWidth="1" style="16" min="9642" max="9642"/>
    <col width="14.88671875" customWidth="1" style="16" min="9643" max="9643"/>
    <col width="19" bestFit="1" customWidth="1" style="16" min="9644" max="9644"/>
    <col width="18.33203125" customWidth="1" style="16" min="9645" max="9646"/>
    <col width="9.109375" customWidth="1" style="16" min="9647" max="9722"/>
    <col width="3" customWidth="1" style="16" min="9723" max="9723"/>
    <col width="5" bestFit="1" customWidth="1" style="16" min="9724" max="9724"/>
    <col width="81.88671875" customWidth="1" style="16" min="9725" max="9725"/>
    <col width="11.44140625" customWidth="1" style="16" min="9726" max="9726"/>
    <col width="15.88671875" customWidth="1" style="16" min="9727" max="9727"/>
    <col width="17.33203125" customWidth="1" style="16" min="9728" max="9728"/>
    <col width="22.33203125" customWidth="1" style="16" min="9729" max="9729"/>
    <col width="9.109375" customWidth="1" style="16" min="9730" max="9897"/>
    <col width="54.44140625" customWidth="1" style="16" min="9898" max="9898"/>
    <col width="14.88671875" customWidth="1" style="16" min="9899" max="9899"/>
    <col width="19" bestFit="1" customWidth="1" style="16" min="9900" max="9900"/>
    <col width="18.33203125" customWidth="1" style="16" min="9901" max="9902"/>
    <col width="9.109375" customWidth="1" style="16" min="9903" max="9978"/>
    <col width="3" customWidth="1" style="16" min="9979" max="9979"/>
    <col width="5" bestFit="1" customWidth="1" style="16" min="9980" max="9980"/>
    <col width="81.88671875" customWidth="1" style="16" min="9981" max="9981"/>
    <col width="11.44140625" customWidth="1" style="16" min="9982" max="9982"/>
    <col width="15.88671875" customWidth="1" style="16" min="9983" max="9983"/>
    <col width="17.33203125" customWidth="1" style="16" min="9984" max="9984"/>
    <col width="22.33203125" customWidth="1" style="16" min="9985" max="9985"/>
    <col width="9.109375" customWidth="1" style="16" min="9986" max="10153"/>
    <col width="54.44140625" customWidth="1" style="16" min="10154" max="10154"/>
    <col width="14.88671875" customWidth="1" style="16" min="10155" max="10155"/>
    <col width="19" bestFit="1" customWidth="1" style="16" min="10156" max="10156"/>
    <col width="18.33203125" customWidth="1" style="16" min="10157" max="10158"/>
    <col width="9.109375" customWidth="1" style="16" min="10159" max="10234"/>
    <col width="3" customWidth="1" style="16" min="10235" max="10235"/>
    <col width="5" bestFit="1" customWidth="1" style="16" min="10236" max="10236"/>
    <col width="81.88671875" customWidth="1" style="16" min="10237" max="10237"/>
    <col width="11.44140625" customWidth="1" style="16" min="10238" max="10238"/>
    <col width="15.88671875" customWidth="1" style="16" min="10239" max="10239"/>
    <col width="17.33203125" customWidth="1" style="16" min="10240" max="10240"/>
    <col width="22.33203125" customWidth="1" style="16" min="10241" max="10241"/>
    <col width="9.109375" customWidth="1" style="16" min="10242" max="10409"/>
    <col width="54.44140625" customWidth="1" style="16" min="10410" max="10410"/>
    <col width="14.88671875" customWidth="1" style="16" min="10411" max="10411"/>
    <col width="19" bestFit="1" customWidth="1" style="16" min="10412" max="10412"/>
    <col width="18.33203125" customWidth="1" style="16" min="10413" max="10414"/>
    <col width="9.109375" customWidth="1" style="16" min="10415" max="10490"/>
    <col width="3" customWidth="1" style="16" min="10491" max="10491"/>
    <col width="5" bestFit="1" customWidth="1" style="16" min="10492" max="10492"/>
    <col width="81.88671875" customWidth="1" style="16" min="10493" max="10493"/>
    <col width="11.44140625" customWidth="1" style="16" min="10494" max="10494"/>
    <col width="15.88671875" customWidth="1" style="16" min="10495" max="10495"/>
    <col width="17.33203125" customWidth="1" style="16" min="10496" max="10496"/>
    <col width="22.33203125" customWidth="1" style="16" min="10497" max="10497"/>
    <col width="9.109375" customWidth="1" style="16" min="10498" max="10665"/>
    <col width="54.44140625" customWidth="1" style="16" min="10666" max="10666"/>
    <col width="14.88671875" customWidth="1" style="16" min="10667" max="10667"/>
    <col width="19" bestFit="1" customWidth="1" style="16" min="10668" max="10668"/>
    <col width="18.33203125" customWidth="1" style="16" min="10669" max="10670"/>
    <col width="9.109375" customWidth="1" style="16" min="10671" max="10746"/>
    <col width="3" customWidth="1" style="16" min="10747" max="10747"/>
    <col width="5" bestFit="1" customWidth="1" style="16" min="10748" max="10748"/>
    <col width="81.88671875" customWidth="1" style="16" min="10749" max="10749"/>
    <col width="11.44140625" customWidth="1" style="16" min="10750" max="10750"/>
    <col width="15.88671875" customWidth="1" style="16" min="10751" max="10751"/>
    <col width="17.33203125" customWidth="1" style="16" min="10752" max="10752"/>
    <col width="22.33203125" customWidth="1" style="16" min="10753" max="10753"/>
    <col width="9.109375" customWidth="1" style="16" min="10754" max="10921"/>
    <col width="54.44140625" customWidth="1" style="16" min="10922" max="10922"/>
    <col width="14.88671875" customWidth="1" style="16" min="10923" max="10923"/>
    <col width="19" bestFit="1" customWidth="1" style="16" min="10924" max="10924"/>
    <col width="18.33203125" customWidth="1" style="16" min="10925" max="10926"/>
    <col width="9.109375" customWidth="1" style="16" min="10927" max="11002"/>
    <col width="3" customWidth="1" style="16" min="11003" max="11003"/>
    <col width="5" bestFit="1" customWidth="1" style="16" min="11004" max="11004"/>
    <col width="81.88671875" customWidth="1" style="16" min="11005" max="11005"/>
    <col width="11.44140625" customWidth="1" style="16" min="11006" max="11006"/>
    <col width="15.88671875" customWidth="1" style="16" min="11007" max="11007"/>
    <col width="17.33203125" customWidth="1" style="16" min="11008" max="11008"/>
    <col width="22.33203125" customWidth="1" style="16" min="11009" max="11009"/>
    <col width="9.109375" customWidth="1" style="16" min="11010" max="11177"/>
    <col width="54.44140625" customWidth="1" style="16" min="11178" max="11178"/>
    <col width="14.88671875" customWidth="1" style="16" min="11179" max="11179"/>
    <col width="19" bestFit="1" customWidth="1" style="16" min="11180" max="11180"/>
    <col width="18.33203125" customWidth="1" style="16" min="11181" max="11182"/>
    <col width="9.109375" customWidth="1" style="16" min="11183" max="11258"/>
    <col width="3" customWidth="1" style="16" min="11259" max="11259"/>
    <col width="5" bestFit="1" customWidth="1" style="16" min="11260" max="11260"/>
    <col width="81.88671875" customWidth="1" style="16" min="11261" max="11261"/>
    <col width="11.44140625" customWidth="1" style="16" min="11262" max="11262"/>
    <col width="15.88671875" customWidth="1" style="16" min="11263" max="11263"/>
    <col width="17.33203125" customWidth="1" style="16" min="11264" max="11264"/>
    <col width="22.33203125" customWidth="1" style="16" min="11265" max="11265"/>
    <col width="9.109375" customWidth="1" style="16" min="11266" max="11433"/>
    <col width="54.44140625" customWidth="1" style="16" min="11434" max="11434"/>
    <col width="14.88671875" customWidth="1" style="16" min="11435" max="11435"/>
    <col width="19" bestFit="1" customWidth="1" style="16" min="11436" max="11436"/>
    <col width="18.33203125" customWidth="1" style="16" min="11437" max="11438"/>
    <col width="9.109375" customWidth="1" style="16" min="11439" max="11514"/>
    <col width="3" customWidth="1" style="16" min="11515" max="11515"/>
    <col width="5" bestFit="1" customWidth="1" style="16" min="11516" max="11516"/>
    <col width="81.88671875" customWidth="1" style="16" min="11517" max="11517"/>
    <col width="11.44140625" customWidth="1" style="16" min="11518" max="11518"/>
    <col width="15.88671875" customWidth="1" style="16" min="11519" max="11519"/>
    <col width="17.33203125" customWidth="1" style="16" min="11520" max="11520"/>
    <col width="22.33203125" customWidth="1" style="16" min="11521" max="11521"/>
    <col width="9.109375" customWidth="1" style="16" min="11522" max="11689"/>
    <col width="54.44140625" customWidth="1" style="16" min="11690" max="11690"/>
    <col width="14.88671875" customWidth="1" style="16" min="11691" max="11691"/>
    <col width="19" bestFit="1" customWidth="1" style="16" min="11692" max="11692"/>
    <col width="18.33203125" customWidth="1" style="16" min="11693" max="11694"/>
    <col width="9.109375" customWidth="1" style="16" min="11695" max="11770"/>
    <col width="3" customWidth="1" style="16" min="11771" max="11771"/>
    <col width="5" bestFit="1" customWidth="1" style="16" min="11772" max="11772"/>
    <col width="81.88671875" customWidth="1" style="16" min="11773" max="11773"/>
    <col width="11.44140625" customWidth="1" style="16" min="11774" max="11774"/>
    <col width="15.88671875" customWidth="1" style="16" min="11775" max="11775"/>
    <col width="17.33203125" customWidth="1" style="16" min="11776" max="11776"/>
    <col width="22.33203125" customWidth="1" style="16" min="11777" max="11777"/>
    <col width="9.109375" customWidth="1" style="16" min="11778" max="11945"/>
    <col width="54.44140625" customWidth="1" style="16" min="11946" max="11946"/>
    <col width="14.88671875" customWidth="1" style="16" min="11947" max="11947"/>
    <col width="19" bestFit="1" customWidth="1" style="16" min="11948" max="11948"/>
    <col width="18.33203125" customWidth="1" style="16" min="11949" max="11950"/>
    <col width="9.109375" customWidth="1" style="16" min="11951" max="12026"/>
    <col width="3" customWidth="1" style="16" min="12027" max="12027"/>
    <col width="5" bestFit="1" customWidth="1" style="16" min="12028" max="12028"/>
    <col width="81.88671875" customWidth="1" style="16" min="12029" max="12029"/>
    <col width="11.44140625" customWidth="1" style="16" min="12030" max="12030"/>
    <col width="15.88671875" customWidth="1" style="16" min="12031" max="12031"/>
    <col width="17.33203125" customWidth="1" style="16" min="12032" max="12032"/>
    <col width="22.33203125" customWidth="1" style="16" min="12033" max="12033"/>
    <col width="9.109375" customWidth="1" style="16" min="12034" max="12201"/>
    <col width="54.44140625" customWidth="1" style="16" min="12202" max="12202"/>
    <col width="14.88671875" customWidth="1" style="16" min="12203" max="12203"/>
    <col width="19" bestFit="1" customWidth="1" style="16" min="12204" max="12204"/>
    <col width="18.33203125" customWidth="1" style="16" min="12205" max="12206"/>
    <col width="9.109375" customWidth="1" style="16" min="12207" max="12282"/>
    <col width="3" customWidth="1" style="16" min="12283" max="12283"/>
    <col width="5" bestFit="1" customWidth="1" style="16" min="12284" max="12284"/>
    <col width="81.88671875" customWidth="1" style="16" min="12285" max="12285"/>
    <col width="11.44140625" customWidth="1" style="16" min="12286" max="12286"/>
    <col width="15.88671875" customWidth="1" style="16" min="12287" max="12287"/>
    <col width="17.33203125" customWidth="1" style="16" min="12288" max="12288"/>
    <col width="22.33203125" customWidth="1" style="16" min="12289" max="12289"/>
    <col width="9.109375" customWidth="1" style="16" min="12290" max="12457"/>
    <col width="54.44140625" customWidth="1" style="16" min="12458" max="12458"/>
    <col width="14.88671875" customWidth="1" style="16" min="12459" max="12459"/>
    <col width="19" bestFit="1" customWidth="1" style="16" min="12460" max="12460"/>
    <col width="18.33203125" customWidth="1" style="16" min="12461" max="12462"/>
    <col width="9.109375" customWidth="1" style="16" min="12463" max="12538"/>
    <col width="3" customWidth="1" style="16" min="12539" max="12539"/>
    <col width="5" bestFit="1" customWidth="1" style="16" min="12540" max="12540"/>
    <col width="81.88671875" customWidth="1" style="16" min="12541" max="12541"/>
    <col width="11.44140625" customWidth="1" style="16" min="12542" max="12542"/>
    <col width="15.88671875" customWidth="1" style="16" min="12543" max="12543"/>
    <col width="17.33203125" customWidth="1" style="16" min="12544" max="12544"/>
    <col width="22.33203125" customWidth="1" style="16" min="12545" max="12545"/>
    <col width="9.109375" customWidth="1" style="16" min="12546" max="12713"/>
    <col width="54.44140625" customWidth="1" style="16" min="12714" max="12714"/>
    <col width="14.88671875" customWidth="1" style="16" min="12715" max="12715"/>
    <col width="19" bestFit="1" customWidth="1" style="16" min="12716" max="12716"/>
    <col width="18.33203125" customWidth="1" style="16" min="12717" max="12718"/>
    <col width="9.109375" customWidth="1" style="16" min="12719" max="12794"/>
    <col width="3" customWidth="1" style="16" min="12795" max="12795"/>
    <col width="5" bestFit="1" customWidth="1" style="16" min="12796" max="12796"/>
    <col width="81.88671875" customWidth="1" style="16" min="12797" max="12797"/>
    <col width="11.44140625" customWidth="1" style="16" min="12798" max="12798"/>
    <col width="15.88671875" customWidth="1" style="16" min="12799" max="12799"/>
    <col width="17.33203125" customWidth="1" style="16" min="12800" max="12800"/>
    <col width="22.33203125" customWidth="1" style="16" min="12801" max="12801"/>
    <col width="9.109375" customWidth="1" style="16" min="12802" max="12969"/>
    <col width="54.44140625" customWidth="1" style="16" min="12970" max="12970"/>
    <col width="14.88671875" customWidth="1" style="16" min="12971" max="12971"/>
    <col width="19" bestFit="1" customWidth="1" style="16" min="12972" max="12972"/>
    <col width="18.33203125" customWidth="1" style="16" min="12973" max="12974"/>
    <col width="9.109375" customWidth="1" style="16" min="12975" max="13050"/>
    <col width="3" customWidth="1" style="16" min="13051" max="13051"/>
    <col width="5" bestFit="1" customWidth="1" style="16" min="13052" max="13052"/>
    <col width="81.88671875" customWidth="1" style="16" min="13053" max="13053"/>
    <col width="11.44140625" customWidth="1" style="16" min="13054" max="13054"/>
    <col width="15.88671875" customWidth="1" style="16" min="13055" max="13055"/>
    <col width="17.33203125" customWidth="1" style="16" min="13056" max="13056"/>
    <col width="22.33203125" customWidth="1" style="16" min="13057" max="13057"/>
    <col width="9.109375" customWidth="1" style="16" min="13058" max="13225"/>
    <col width="54.44140625" customWidth="1" style="16" min="13226" max="13226"/>
    <col width="14.88671875" customWidth="1" style="16" min="13227" max="13227"/>
    <col width="19" bestFit="1" customWidth="1" style="16" min="13228" max="13228"/>
    <col width="18.33203125" customWidth="1" style="16" min="13229" max="13230"/>
    <col width="9.109375" customWidth="1" style="16" min="13231" max="13306"/>
    <col width="3" customWidth="1" style="16" min="13307" max="13307"/>
    <col width="5" bestFit="1" customWidth="1" style="16" min="13308" max="13308"/>
    <col width="81.88671875" customWidth="1" style="16" min="13309" max="13309"/>
    <col width="11.44140625" customWidth="1" style="16" min="13310" max="13310"/>
    <col width="15.88671875" customWidth="1" style="16" min="13311" max="13311"/>
    <col width="17.33203125" customWidth="1" style="16" min="13312" max="13312"/>
    <col width="22.33203125" customWidth="1" style="16" min="13313" max="13313"/>
    <col width="9.109375" customWidth="1" style="16" min="13314" max="13481"/>
    <col width="54.44140625" customWidth="1" style="16" min="13482" max="13482"/>
    <col width="14.88671875" customWidth="1" style="16" min="13483" max="13483"/>
    <col width="19" bestFit="1" customWidth="1" style="16" min="13484" max="13484"/>
    <col width="18.33203125" customWidth="1" style="16" min="13485" max="13486"/>
    <col width="9.109375" customWidth="1" style="16" min="13487" max="13562"/>
    <col width="3" customWidth="1" style="16" min="13563" max="13563"/>
    <col width="5" bestFit="1" customWidth="1" style="16" min="13564" max="13564"/>
    <col width="81.88671875" customWidth="1" style="16" min="13565" max="13565"/>
    <col width="11.44140625" customWidth="1" style="16" min="13566" max="13566"/>
    <col width="15.88671875" customWidth="1" style="16" min="13567" max="13567"/>
    <col width="17.33203125" customWidth="1" style="16" min="13568" max="13568"/>
    <col width="22.33203125" customWidth="1" style="16" min="13569" max="13569"/>
    <col width="9.109375" customWidth="1" style="16" min="13570" max="13737"/>
    <col width="54.44140625" customWidth="1" style="16" min="13738" max="13738"/>
    <col width="14.88671875" customWidth="1" style="16" min="13739" max="13739"/>
    <col width="19" bestFit="1" customWidth="1" style="16" min="13740" max="13740"/>
    <col width="18.33203125" customWidth="1" style="16" min="13741" max="13742"/>
    <col width="9.109375" customWidth="1" style="16" min="13743" max="13818"/>
    <col width="3" customWidth="1" style="16" min="13819" max="13819"/>
    <col width="5" bestFit="1" customWidth="1" style="16" min="13820" max="13820"/>
    <col width="81.88671875" customWidth="1" style="16" min="13821" max="13821"/>
    <col width="11.44140625" customWidth="1" style="16" min="13822" max="13822"/>
    <col width="15.88671875" customWidth="1" style="16" min="13823" max="13823"/>
    <col width="17.33203125" customWidth="1" style="16" min="13824" max="13824"/>
    <col width="22.33203125" customWidth="1" style="16" min="13825" max="13825"/>
    <col width="9.109375" customWidth="1" style="16" min="13826" max="13993"/>
    <col width="54.44140625" customWidth="1" style="16" min="13994" max="13994"/>
    <col width="14.88671875" customWidth="1" style="16" min="13995" max="13995"/>
    <col width="19" bestFit="1" customWidth="1" style="16" min="13996" max="13996"/>
    <col width="18.33203125" customWidth="1" style="16" min="13997" max="13998"/>
    <col width="9.109375" customWidth="1" style="16" min="13999" max="14074"/>
    <col width="3" customWidth="1" style="16" min="14075" max="14075"/>
    <col width="5" bestFit="1" customWidth="1" style="16" min="14076" max="14076"/>
    <col width="81.88671875" customWidth="1" style="16" min="14077" max="14077"/>
    <col width="11.44140625" customWidth="1" style="16" min="14078" max="14078"/>
    <col width="15.88671875" customWidth="1" style="16" min="14079" max="14079"/>
    <col width="17.33203125" customWidth="1" style="16" min="14080" max="14080"/>
    <col width="22.33203125" customWidth="1" style="16" min="14081" max="14081"/>
    <col width="9.109375" customWidth="1" style="16" min="14082" max="14249"/>
    <col width="54.44140625" customWidth="1" style="16" min="14250" max="14250"/>
    <col width="14.88671875" customWidth="1" style="16" min="14251" max="14251"/>
    <col width="19" bestFit="1" customWidth="1" style="16" min="14252" max="14252"/>
    <col width="18.33203125" customWidth="1" style="16" min="14253" max="14254"/>
    <col width="9.109375" customWidth="1" style="16" min="14255" max="14330"/>
    <col width="3" customWidth="1" style="16" min="14331" max="14331"/>
    <col width="5" bestFit="1" customWidth="1" style="16" min="14332" max="14332"/>
    <col width="81.88671875" customWidth="1" style="16" min="14333" max="14333"/>
    <col width="11.44140625" customWidth="1" style="16" min="14334" max="14334"/>
    <col width="15.88671875" customWidth="1" style="16" min="14335" max="14335"/>
    <col width="17.33203125" customWidth="1" style="16" min="14336" max="14336"/>
    <col width="22.33203125" customWidth="1" style="16" min="14337" max="14337"/>
    <col width="9.109375" customWidth="1" style="16" min="14338" max="14505"/>
    <col width="54.44140625" customWidth="1" style="16" min="14506" max="14506"/>
    <col width="14.88671875" customWidth="1" style="16" min="14507" max="14507"/>
    <col width="19" bestFit="1" customWidth="1" style="16" min="14508" max="14508"/>
    <col width="18.33203125" customWidth="1" style="16" min="14509" max="14510"/>
    <col width="9.109375" customWidth="1" style="16" min="14511" max="14586"/>
    <col width="3" customWidth="1" style="16" min="14587" max="14587"/>
    <col width="5" bestFit="1" customWidth="1" style="16" min="14588" max="14588"/>
    <col width="81.88671875" customWidth="1" style="16" min="14589" max="14589"/>
    <col width="11.44140625" customWidth="1" style="16" min="14590" max="14590"/>
    <col width="15.88671875" customWidth="1" style="16" min="14591" max="14591"/>
    <col width="17.33203125" customWidth="1" style="16" min="14592" max="14592"/>
    <col width="22.33203125" customWidth="1" style="16" min="14593" max="14593"/>
    <col width="9.109375" customWidth="1" style="16" min="14594" max="14761"/>
    <col width="54.44140625" customWidth="1" style="16" min="14762" max="14762"/>
    <col width="14.88671875" customWidth="1" style="16" min="14763" max="14763"/>
    <col width="19" bestFit="1" customWidth="1" style="16" min="14764" max="14764"/>
    <col width="18.33203125" customWidth="1" style="16" min="14765" max="14766"/>
    <col width="9.109375" customWidth="1" style="16" min="14767" max="14842"/>
    <col width="3" customWidth="1" style="16" min="14843" max="14843"/>
    <col width="5" bestFit="1" customWidth="1" style="16" min="14844" max="14844"/>
    <col width="81.88671875" customWidth="1" style="16" min="14845" max="14845"/>
    <col width="11.44140625" customWidth="1" style="16" min="14846" max="14846"/>
    <col width="15.88671875" customWidth="1" style="16" min="14847" max="14847"/>
    <col width="17.33203125" customWidth="1" style="16" min="14848" max="14848"/>
    <col width="22.33203125" customWidth="1" style="16" min="14849" max="14849"/>
    <col width="9.109375" customWidth="1" style="16" min="14850" max="15017"/>
    <col width="54.44140625" customWidth="1" style="16" min="15018" max="15018"/>
    <col width="14.88671875" customWidth="1" style="16" min="15019" max="15019"/>
    <col width="19" bestFit="1" customWidth="1" style="16" min="15020" max="15020"/>
    <col width="18.33203125" customWidth="1" style="16" min="15021" max="15022"/>
    <col width="9.109375" customWidth="1" style="16" min="15023" max="15098"/>
    <col width="3" customWidth="1" style="16" min="15099" max="15099"/>
    <col width="5" bestFit="1" customWidth="1" style="16" min="15100" max="15100"/>
    <col width="81.88671875" customWidth="1" style="16" min="15101" max="15101"/>
    <col width="11.44140625" customWidth="1" style="16" min="15102" max="15102"/>
    <col width="15.88671875" customWidth="1" style="16" min="15103" max="15103"/>
    <col width="17.33203125" customWidth="1" style="16" min="15104" max="15104"/>
    <col width="22.33203125" customWidth="1" style="16" min="15105" max="15105"/>
    <col width="9.109375" customWidth="1" style="16" min="15106" max="15273"/>
    <col width="54.44140625" customWidth="1" style="16" min="15274" max="15274"/>
    <col width="14.88671875" customWidth="1" style="16" min="15275" max="15275"/>
    <col width="19" bestFit="1" customWidth="1" style="16" min="15276" max="15276"/>
    <col width="18.33203125" customWidth="1" style="16" min="15277" max="15278"/>
    <col width="9.109375" customWidth="1" style="16" min="15279" max="15354"/>
    <col width="3" customWidth="1" style="16" min="15355" max="15355"/>
    <col width="5" bestFit="1" customWidth="1" style="16" min="15356" max="15356"/>
    <col width="81.88671875" customWidth="1" style="16" min="15357" max="15357"/>
    <col width="11.44140625" customWidth="1" style="16" min="15358" max="15358"/>
    <col width="15.88671875" customWidth="1" style="16" min="15359" max="15359"/>
    <col width="17.33203125" customWidth="1" style="16" min="15360" max="15360"/>
    <col width="22.33203125" customWidth="1" style="16" min="15361" max="15361"/>
    <col width="9.109375" customWidth="1" style="16" min="15362" max="15529"/>
    <col width="54.44140625" customWidth="1" style="16" min="15530" max="15530"/>
    <col width="14.88671875" customWidth="1" style="16" min="15531" max="15531"/>
    <col width="19" bestFit="1" customWidth="1" style="16" min="15532" max="15532"/>
    <col width="18.33203125" customWidth="1" style="16" min="15533" max="15534"/>
    <col width="9.109375" customWidth="1" style="16" min="15535" max="15610"/>
    <col width="3" customWidth="1" style="16" min="15611" max="15611"/>
    <col width="5" bestFit="1" customWidth="1" style="16" min="15612" max="15612"/>
    <col width="81.88671875" customWidth="1" style="16" min="15613" max="15613"/>
    <col width="11.44140625" customWidth="1" style="16" min="15614" max="15614"/>
    <col width="15.88671875" customWidth="1" style="16" min="15615" max="15615"/>
    <col width="17.33203125" customWidth="1" style="16" min="15616" max="15616"/>
    <col width="22.33203125" customWidth="1" style="16" min="15617" max="15617"/>
    <col width="9.109375" customWidth="1" style="16" min="15618" max="15785"/>
    <col width="54.44140625" customWidth="1" style="16" min="15786" max="15786"/>
    <col width="14.88671875" customWidth="1" style="16" min="15787" max="15787"/>
    <col width="19" bestFit="1" customWidth="1" style="16" min="15788" max="15788"/>
    <col width="18.33203125" customWidth="1" style="16" min="15789" max="15790"/>
    <col width="9.109375" customWidth="1" style="16" min="15791" max="15866"/>
    <col width="3" customWidth="1" style="16" min="15867" max="15867"/>
    <col width="5" bestFit="1" customWidth="1" style="16" min="15868" max="15868"/>
    <col width="81.88671875" customWidth="1" style="16" min="15869" max="15869"/>
    <col width="11.44140625" customWidth="1" style="16" min="15870" max="15870"/>
    <col width="15.88671875" customWidth="1" style="16" min="15871" max="15871"/>
    <col width="17.33203125" customWidth="1" style="16" min="15872" max="15872"/>
    <col width="22.33203125" customWidth="1" style="16" min="15873" max="15873"/>
    <col width="9.109375" customWidth="1" style="16" min="15874" max="16041"/>
    <col width="54.44140625" customWidth="1" style="16" min="16042" max="16042"/>
    <col width="14.88671875" customWidth="1" style="16" min="16043" max="16043"/>
    <col width="19" bestFit="1" customWidth="1" style="16" min="16044" max="16044"/>
    <col width="18.33203125" customWidth="1" style="16" min="16045" max="16046"/>
    <col width="9.109375" customWidth="1" style="16" min="16047" max="16122"/>
    <col width="3" customWidth="1" style="16" min="16123" max="16123"/>
    <col width="5" bestFit="1" customWidth="1" style="16" min="16124" max="16124"/>
    <col width="81.88671875" customWidth="1" style="16" min="16125" max="16125"/>
    <col width="11.44140625" customWidth="1" style="16" min="16126" max="16126"/>
    <col width="15.88671875" customWidth="1" style="16" min="16127" max="16127"/>
    <col width="17.33203125" customWidth="1" style="16" min="16128" max="16128"/>
    <col width="22.33203125" customWidth="1" style="16" min="16129" max="16129"/>
    <col width="9.109375" customWidth="1" style="16" min="16130" max="16297"/>
    <col width="54.44140625" customWidth="1" style="16" min="16298" max="16298"/>
    <col width="14.88671875" customWidth="1" style="16" min="16299" max="16299"/>
    <col width="19" bestFit="1" customWidth="1" style="16" min="16300" max="16300"/>
    <col width="18.33203125" customWidth="1" style="16" min="16301" max="16302"/>
    <col width="9.109375" customWidth="1" style="16" min="16303" max="16384"/>
  </cols>
  <sheetData>
    <row r="1" ht="34.5" customHeight="1">
      <c r="A1" s="23" t="n"/>
      <c r="B1" s="127" t="inlineStr">
        <is>
          <t xml:space="preserve"> Medição</t>
        </is>
      </c>
      <c r="C1" s="128" t="n"/>
      <c r="D1" s="128" t="n"/>
      <c r="E1" s="128" t="n"/>
      <c r="F1" s="129" t="n"/>
      <c r="G1" s="16" t="inlineStr">
        <is>
          <t>tecnico</t>
        </is>
      </c>
      <c r="H1" s="16" t="inlineStr">
        <is>
          <t>inicio</t>
        </is>
      </c>
      <c r="I1" s="16" t="inlineStr">
        <is>
          <t>fim</t>
        </is>
      </c>
    </row>
    <row r="2" ht="12.75" customFormat="1" customHeight="1" s="17">
      <c r="A2" s="23" t="n"/>
      <c r="B2" s="24" t="n"/>
      <c r="C2" s="25" t="n"/>
      <c r="F2" s="26" t="n"/>
      <c r="G2" s="17" t="inlineStr">
        <is>
          <t>Marco Santos</t>
        </is>
      </c>
      <c r="H2" s="81" t="n">
        <v>45916</v>
      </c>
      <c r="I2" s="81" t="n">
        <v>45923</v>
      </c>
    </row>
    <row r="3" ht="12.75" customFormat="1" customHeight="1" s="17">
      <c r="A3" s="23" t="n"/>
      <c r="B3" s="130" t="inlineStr">
        <is>
          <t>PROJETO - MANUTENÇÃO   E INSTALAÇÃO</t>
        </is>
      </c>
      <c r="C3" s="23" t="n"/>
      <c r="D3" s="23" t="n"/>
      <c r="E3" s="23" t="n"/>
      <c r="F3" s="131" t="n"/>
      <c r="G3" s="17" t="inlineStr">
        <is>
          <t>Daniel Cruz</t>
        </is>
      </c>
      <c r="H3" s="81" t="n">
        <v>45916</v>
      </c>
      <c r="I3" s="81" t="n">
        <v>45923</v>
      </c>
    </row>
    <row r="4" ht="15.6" customFormat="1" customHeight="1" s="17">
      <c r="A4" s="23" t="n"/>
      <c r="B4" s="100" t="n"/>
      <c r="C4" s="101" t="n"/>
      <c r="D4" s="101" t="n"/>
      <c r="E4" s="101" t="n"/>
      <c r="F4" s="102" t="n"/>
      <c r="G4" s="17" t="inlineStr">
        <is>
          <t>Marcelo Fontes</t>
        </is>
      </c>
      <c r="H4" s="81" t="n">
        <v>45916</v>
      </c>
      <c r="I4" s="81" t="n">
        <v>45923</v>
      </c>
    </row>
    <row r="5" ht="15.6" customFormat="1" customHeight="1" s="17">
      <c r="A5" s="23" t="n"/>
      <c r="B5" s="30" t="inlineStr">
        <is>
          <t>Fornecedor: MAURO SERRALHERIA</t>
        </is>
      </c>
      <c r="C5" s="31" t="inlineStr">
        <is>
          <t>Valor:</t>
        </is>
      </c>
      <c r="D5" s="132">
        <f>F54</f>
        <v/>
      </c>
      <c r="E5" s="23" t="n"/>
      <c r="F5" s="133" t="n"/>
      <c r="G5" s="17" t="inlineStr">
        <is>
          <t>Marcelo Fontes</t>
        </is>
      </c>
      <c r="H5" s="81" t="n">
        <v>45929</v>
      </c>
      <c r="I5" s="81" t="n">
        <v>45930</v>
      </c>
    </row>
    <row r="6" ht="14.4" customFormat="1" customHeight="1" s="18">
      <c r="A6" s="23" t="n"/>
      <c r="B6" s="30" t="inlineStr">
        <is>
          <t xml:space="preserve">CNPJ: </t>
        </is>
      </c>
      <c r="C6" s="33" t="inlineStr">
        <is>
          <t>Periodo:    02/07/2025 à 04/07/2025</t>
        </is>
      </c>
      <c r="D6" s="33" t="n"/>
      <c r="E6" s="33" t="n"/>
      <c r="F6" s="34" t="n"/>
      <c r="G6" s="18" t="inlineStr">
        <is>
          <t>Marco Santos</t>
        </is>
      </c>
      <c r="H6" s="82" t="n">
        <v>45929</v>
      </c>
      <c r="I6" s="82" t="n">
        <v>45930</v>
      </c>
    </row>
    <row r="7" ht="14.4" customFormat="1" customHeight="1" s="17">
      <c r="A7" s="23" t="n"/>
      <c r="B7" s="30" t="inlineStr">
        <is>
          <t xml:space="preserve">Contrato: </t>
        </is>
      </c>
      <c r="C7" s="33" t="inlineStr">
        <is>
          <t>Centro de Custo: OLS001</t>
        </is>
      </c>
      <c r="D7" s="33" t="n"/>
      <c r="F7" s="26" t="n"/>
    </row>
    <row r="8" ht="15" customFormat="1" customHeight="1" s="17" thickBot="1">
      <c r="A8" s="23" t="n"/>
      <c r="B8" s="35" t="inlineStr">
        <is>
          <t>DESCRIÇÃO DO SERVIÇO: MANUT/INSTAL</t>
        </is>
      </c>
      <c r="C8" s="36" t="inlineStr">
        <is>
          <t>UNIDADE</t>
        </is>
      </c>
      <c r="D8" s="36" t="inlineStr">
        <is>
          <t>UNITÁRIO</t>
        </is>
      </c>
      <c r="E8" s="36" t="inlineStr">
        <is>
          <t>QTD</t>
        </is>
      </c>
      <c r="F8" s="37" t="inlineStr">
        <is>
          <t>TOTAL</t>
        </is>
      </c>
    </row>
    <row r="9" ht="34.5" customFormat="1" customHeight="1" s="18">
      <c r="A9" s="23" t="n"/>
      <c r="B9" s="38" t="inlineStr">
        <is>
          <t>1. SISTEMA</t>
        </is>
      </c>
      <c r="C9" s="39" t="n"/>
      <c r="D9" s="39" t="n"/>
      <c r="E9" s="134" t="n"/>
      <c r="F9" s="135">
        <f>SUM(F10:F26)</f>
        <v/>
      </c>
    </row>
    <row r="10" ht="15.75" customFormat="1" customHeight="1" s="17">
      <c r="A10" s="23" t="n"/>
      <c r="B10" s="93" t="n"/>
      <c r="C10" s="43" t="inlineStr">
        <is>
          <t>uni.</t>
        </is>
      </c>
      <c r="D10" s="136" t="n">
        <v>0</v>
      </c>
      <c r="E10" s="137" t="n">
        <v>0</v>
      </c>
      <c r="F10" s="138">
        <f>D10*E10</f>
        <v/>
      </c>
    </row>
    <row r="11" ht="15" customFormat="1" customHeight="1" s="17">
      <c r="A11" s="23" t="n"/>
      <c r="B11" s="93" t="n"/>
      <c r="C11" s="43" t="inlineStr">
        <is>
          <t>uni.</t>
        </is>
      </c>
      <c r="D11" s="136" t="n">
        <v>0</v>
      </c>
      <c r="E11" s="137" t="n">
        <v>0</v>
      </c>
      <c r="F11" s="138">
        <f>D11*E11</f>
        <v/>
      </c>
    </row>
    <row r="12" ht="15" customFormat="1" customHeight="1" s="17">
      <c r="A12" s="23" t="n"/>
      <c r="B12" s="93" t="n"/>
      <c r="C12" s="43" t="inlineStr">
        <is>
          <t>uni.</t>
        </is>
      </c>
      <c r="D12" s="136" t="n">
        <v>0</v>
      </c>
      <c r="E12" s="137" t="n">
        <v>0</v>
      </c>
      <c r="F12" s="138">
        <f>D12*E12</f>
        <v/>
      </c>
    </row>
    <row r="13" ht="15" customFormat="1" customHeight="1" s="17">
      <c r="A13" s="23" t="n"/>
      <c r="B13" s="93" t="n"/>
      <c r="C13" s="43" t="inlineStr">
        <is>
          <t>uni.</t>
        </is>
      </c>
      <c r="D13" s="136" t="n">
        <v>0</v>
      </c>
      <c r="E13" s="137" t="n">
        <v>0</v>
      </c>
      <c r="F13" s="138">
        <f>D13*E13</f>
        <v/>
      </c>
    </row>
    <row r="14" ht="15" customFormat="1" customHeight="1" s="17">
      <c r="A14" s="23" t="n"/>
      <c r="B14" s="93" t="n"/>
      <c r="C14" s="43" t="inlineStr">
        <is>
          <t>uni.</t>
        </is>
      </c>
      <c r="D14" s="136" t="n">
        <v>0</v>
      </c>
      <c r="E14" s="137" t="n">
        <v>0</v>
      </c>
      <c r="F14" s="138">
        <f>D14*E14</f>
        <v/>
      </c>
    </row>
    <row r="15" ht="15" customFormat="1" customHeight="1" s="17">
      <c r="A15" s="23" t="n"/>
      <c r="B15" s="93" t="n"/>
      <c r="C15" s="43" t="inlineStr">
        <is>
          <t>uni.</t>
        </is>
      </c>
      <c r="D15" s="136" t="n">
        <v>0</v>
      </c>
      <c r="E15" s="137" t="n">
        <v>0</v>
      </c>
      <c r="F15" s="138">
        <f>D13*E13</f>
        <v/>
      </c>
    </row>
    <row r="16" ht="15" customFormat="1" customHeight="1" s="17">
      <c r="A16" s="23" t="n"/>
      <c r="B16" s="93" t="n"/>
      <c r="C16" s="43" t="inlineStr">
        <is>
          <t>uni.</t>
        </is>
      </c>
      <c r="D16" s="136" t="n">
        <v>0</v>
      </c>
      <c r="E16" s="137" t="n">
        <v>0</v>
      </c>
      <c r="F16" s="138">
        <f>D16*E16</f>
        <v/>
      </c>
    </row>
    <row r="17" ht="15" customFormat="1" customHeight="1" s="17">
      <c r="A17" s="23" t="n"/>
      <c r="B17" s="93" t="n"/>
      <c r="C17" s="43" t="inlineStr">
        <is>
          <t>uni.</t>
        </is>
      </c>
      <c r="D17" s="136" t="n">
        <v>0</v>
      </c>
      <c r="E17" s="137" t="n">
        <v>0</v>
      </c>
      <c r="F17" s="138">
        <f>D17*E17</f>
        <v/>
      </c>
    </row>
    <row r="18" ht="15.75" customFormat="1" customHeight="1" s="17">
      <c r="A18" s="23" t="n"/>
      <c r="B18" s="93" t="n"/>
      <c r="C18" s="43" t="inlineStr">
        <is>
          <t>uni.</t>
        </is>
      </c>
      <c r="D18" s="136" t="n">
        <v>0</v>
      </c>
      <c r="E18" s="137" t="n">
        <v>0</v>
      </c>
      <c r="F18" s="138">
        <f>D18*E18</f>
        <v/>
      </c>
    </row>
    <row r="19" ht="15.75" customFormat="1" customHeight="1" s="18">
      <c r="A19" s="23" t="n"/>
      <c r="B19" s="93" t="n"/>
      <c r="C19" s="43" t="inlineStr">
        <is>
          <t>uni.</t>
        </is>
      </c>
      <c r="D19" s="136" t="n">
        <v>0</v>
      </c>
      <c r="E19" s="137" t="n">
        <v>0</v>
      </c>
      <c r="F19" s="138">
        <f>D19*E19</f>
        <v/>
      </c>
    </row>
    <row r="20" ht="15.75" customFormat="1" customHeight="1" s="18">
      <c r="A20" s="23" t="n"/>
      <c r="B20" s="93" t="n"/>
      <c r="C20" s="43" t="inlineStr">
        <is>
          <t>uni.</t>
        </is>
      </c>
      <c r="D20" s="136" t="n">
        <v>0</v>
      </c>
      <c r="E20" s="137" t="n">
        <v>0</v>
      </c>
      <c r="F20" s="138">
        <f>D20*E20</f>
        <v/>
      </c>
    </row>
    <row r="21" ht="15.75" customFormat="1" customHeight="1" s="18">
      <c r="A21" s="23" t="n"/>
      <c r="B21" s="93" t="n"/>
      <c r="C21" s="43" t="inlineStr">
        <is>
          <t>uni.</t>
        </is>
      </c>
      <c r="D21" s="136" t="n">
        <v>0</v>
      </c>
      <c r="E21" s="137" t="n">
        <v>0</v>
      </c>
      <c r="F21" s="138">
        <f>D21*E21</f>
        <v/>
      </c>
    </row>
    <row r="22" ht="15.75" customFormat="1" customHeight="1" s="18">
      <c r="A22" s="23" t="n"/>
      <c r="B22" s="93" t="n"/>
      <c r="C22" s="43" t="inlineStr">
        <is>
          <t>uni.</t>
        </is>
      </c>
      <c r="D22" s="136" t="n">
        <v>0</v>
      </c>
      <c r="E22" s="137" t="n">
        <v>0</v>
      </c>
      <c r="F22" s="138">
        <f>D22*E22</f>
        <v/>
      </c>
    </row>
    <row r="23" ht="15.75" customFormat="1" customHeight="1" s="18">
      <c r="A23" s="23" t="n"/>
      <c r="B23" s="93" t="n"/>
      <c r="C23" s="43" t="inlineStr">
        <is>
          <t>uni.</t>
        </is>
      </c>
      <c r="D23" s="136" t="n">
        <v>0</v>
      </c>
      <c r="E23" s="137" t="n">
        <v>0</v>
      </c>
      <c r="F23" s="138">
        <f>D23*E23</f>
        <v/>
      </c>
    </row>
    <row r="24" ht="15.75" customFormat="1" customHeight="1" s="18">
      <c r="A24" s="23" t="n"/>
      <c r="B24" s="60" t="n"/>
      <c r="C24" s="43" t="inlineStr">
        <is>
          <t>uni.</t>
        </is>
      </c>
      <c r="D24" s="136" t="n">
        <v>0</v>
      </c>
      <c r="E24" s="137" t="n">
        <v>0</v>
      </c>
      <c r="F24" s="138">
        <f>D24*E24</f>
        <v/>
      </c>
    </row>
    <row r="25" ht="15.75" customFormat="1" customHeight="1" s="18">
      <c r="A25" s="23" t="n"/>
      <c r="B25" s="93" t="n"/>
      <c r="C25" s="43" t="inlineStr">
        <is>
          <t>uni.</t>
        </is>
      </c>
      <c r="D25" s="136" t="n">
        <v>0</v>
      </c>
      <c r="E25" s="137" t="n">
        <v>0</v>
      </c>
      <c r="F25" s="138">
        <f>D23*E23</f>
        <v/>
      </c>
    </row>
    <row r="26" ht="15.75" customFormat="1" customHeight="1" s="17">
      <c r="A26" s="23" t="n"/>
      <c r="B26" s="93" t="n"/>
      <c r="C26" s="43" t="inlineStr">
        <is>
          <t>uni.</t>
        </is>
      </c>
      <c r="D26" s="136" t="n">
        <v>0</v>
      </c>
      <c r="E26" s="137" t="n">
        <v>0</v>
      </c>
      <c r="F26" s="138">
        <f>D26*E26</f>
        <v/>
      </c>
    </row>
    <row r="27" ht="15" customFormat="1" customHeight="1" s="17">
      <c r="A27" s="23" t="n"/>
      <c r="B27" s="38" t="inlineStr">
        <is>
          <t xml:space="preserve">2.CABOS  ÓPTICOS </t>
        </is>
      </c>
      <c r="C27" s="39" t="n"/>
      <c r="D27" s="39" t="n"/>
      <c r="E27" s="139" t="n"/>
      <c r="F27" s="135">
        <f>SUM(F28:F31)</f>
        <v/>
      </c>
    </row>
    <row r="28" ht="15" customFormat="1" customHeight="1" s="17">
      <c r="A28" s="23" t="n"/>
      <c r="B28" s="93" t="n"/>
      <c r="C28" s="43" t="inlineStr">
        <is>
          <t>metro</t>
        </is>
      </c>
      <c r="D28" s="136" t="n">
        <v>0</v>
      </c>
      <c r="E28" s="137" t="n">
        <v>0</v>
      </c>
      <c r="F28" s="138">
        <f>D28*E28</f>
        <v/>
      </c>
    </row>
    <row r="29" ht="15.75" customFormat="1" customHeight="1" s="17">
      <c r="A29" s="23" t="n"/>
      <c r="B29" s="93" t="n"/>
      <c r="C29" s="43" t="inlineStr">
        <is>
          <t>metro</t>
        </is>
      </c>
      <c r="D29" s="136" t="n">
        <v>0</v>
      </c>
      <c r="E29" s="137" t="n">
        <v>0</v>
      </c>
      <c r="F29" s="138">
        <f>D29*E29</f>
        <v/>
      </c>
    </row>
    <row r="30" ht="15" customFormat="1" customHeight="1" s="17">
      <c r="A30" s="23" t="n"/>
      <c r="B30" s="93" t="n"/>
      <c r="C30" s="43" t="inlineStr">
        <is>
          <t>uni.</t>
        </is>
      </c>
      <c r="D30" s="136" t="n">
        <v>0</v>
      </c>
      <c r="E30" s="137" t="n">
        <v>0</v>
      </c>
      <c r="F30" s="138">
        <f>D30*E30</f>
        <v/>
      </c>
    </row>
    <row r="31" ht="15.75" customFormat="1" customHeight="1" s="17">
      <c r="A31" s="23" t="n"/>
      <c r="B31" s="93" t="n"/>
      <c r="C31" s="43" t="inlineStr">
        <is>
          <t>metro</t>
        </is>
      </c>
      <c r="D31" s="136" t="n">
        <v>0</v>
      </c>
      <c r="E31" s="137" t="n">
        <v>0</v>
      </c>
      <c r="F31" s="138">
        <f>D31*E31</f>
        <v/>
      </c>
    </row>
    <row r="32" ht="45" customFormat="1" customHeight="1" s="17">
      <c r="A32" s="23" t="n"/>
      <c r="B32" s="38" t="inlineStr">
        <is>
          <t>3.CUSTO TÉCNICOS e LOGISTÍCA</t>
        </is>
      </c>
      <c r="C32" s="39" t="n"/>
      <c r="D32" s="39" t="n"/>
      <c r="E32" s="39" t="n"/>
      <c r="F32" s="135">
        <f>SUM(F33:F44)</f>
        <v/>
      </c>
    </row>
    <row r="33" ht="14.4" customFormat="1" customHeight="1" s="17">
      <c r="A33" s="23" t="n"/>
      <c r="B33" s="93" t="n"/>
      <c r="C33" s="43" t="inlineStr">
        <is>
          <t>Km</t>
        </is>
      </c>
      <c r="D33" s="136" t="n">
        <v>0</v>
      </c>
      <c r="E33" s="137" t="n">
        <v>0</v>
      </c>
      <c r="F33" s="138">
        <f>D33*E33</f>
        <v/>
      </c>
    </row>
    <row r="34" ht="14.4" customFormat="1" customHeight="1" s="17">
      <c r="A34" s="23" t="n"/>
      <c r="B34" s="93" t="n"/>
      <c r="C34" s="43" t="inlineStr">
        <is>
          <t>Km</t>
        </is>
      </c>
      <c r="D34" s="136" t="n">
        <v>0</v>
      </c>
      <c r="E34" s="137" t="n">
        <v>0</v>
      </c>
      <c r="F34" s="138">
        <f>D34*E34</f>
        <v/>
      </c>
    </row>
    <row r="35" ht="14.4" customFormat="1" customHeight="1" s="17">
      <c r="A35" s="23" t="n"/>
      <c r="B35" s="93" t="n"/>
      <c r="C35" s="43" t="inlineStr">
        <is>
          <t>Km</t>
        </is>
      </c>
      <c r="D35" s="136" t="n">
        <v>0</v>
      </c>
      <c r="E35" s="137" t="n">
        <v>0</v>
      </c>
      <c r="F35" s="138" t="n">
        <v>0</v>
      </c>
    </row>
    <row r="36" ht="14.4" customFormat="1" customHeight="1" s="17">
      <c r="A36" s="23" t="n"/>
      <c r="B36" s="93" t="n"/>
      <c r="C36" s="43" t="inlineStr">
        <is>
          <t>Km</t>
        </is>
      </c>
      <c r="D36" s="136" t="n">
        <v>0</v>
      </c>
      <c r="E36" s="137" t="n">
        <v>0</v>
      </c>
      <c r="F36" s="138">
        <f>D36*E36</f>
        <v/>
      </c>
    </row>
    <row r="37" ht="15" customFormat="1" customHeight="1" s="17">
      <c r="A37" s="23" t="n"/>
      <c r="B37" s="93" t="n"/>
      <c r="C37" s="43" t="inlineStr">
        <is>
          <t>L</t>
        </is>
      </c>
      <c r="D37" s="136" t="n">
        <v>0</v>
      </c>
      <c r="E37" s="137" t="n">
        <v>0</v>
      </c>
      <c r="F37" s="138">
        <f>D37*E37</f>
        <v/>
      </c>
    </row>
    <row r="38" ht="15" customFormat="1" customHeight="1" s="17">
      <c r="A38" s="23" t="n"/>
      <c r="B38" s="93" t="n"/>
      <c r="C38" s="43" t="inlineStr">
        <is>
          <t>L</t>
        </is>
      </c>
      <c r="D38" s="136" t="n">
        <v>0</v>
      </c>
      <c r="E38" s="137" t="n">
        <v>0</v>
      </c>
      <c r="F38" s="138">
        <f>D38*E38</f>
        <v/>
      </c>
    </row>
    <row r="39" ht="15" customFormat="1" customHeight="1" s="17">
      <c r="A39" s="23" t="n"/>
      <c r="B39" s="93" t="n"/>
      <c r="C39" s="43" t="inlineStr">
        <is>
          <t>D</t>
        </is>
      </c>
      <c r="D39" s="136" t="n">
        <v>0</v>
      </c>
      <c r="E39" s="137" t="n">
        <v>0</v>
      </c>
      <c r="F39" s="138">
        <f>D39*E39</f>
        <v/>
      </c>
    </row>
    <row r="40" ht="15" customFormat="1" customHeight="1" s="17">
      <c r="A40" s="23" t="n"/>
      <c r="B40" s="93" t="n"/>
      <c r="C40" s="43" t="inlineStr">
        <is>
          <t>L</t>
        </is>
      </c>
      <c r="D40" s="136" t="n">
        <v>0</v>
      </c>
      <c r="E40" s="137" t="n">
        <v>0</v>
      </c>
      <c r="F40" s="138">
        <f>D40*E40</f>
        <v/>
      </c>
    </row>
    <row r="41" ht="15" customFormat="1" customHeight="1" s="17">
      <c r="A41" s="23" t="n"/>
      <c r="B41" s="93" t="n"/>
      <c r="C41" s="43" t="inlineStr">
        <is>
          <t>D</t>
        </is>
      </c>
      <c r="D41" s="136" t="n">
        <v>0</v>
      </c>
      <c r="E41" s="137" t="n">
        <v>0</v>
      </c>
      <c r="F41" s="140">
        <f>D41*E41</f>
        <v/>
      </c>
    </row>
    <row r="42" ht="15" customFormat="1" customHeight="1" s="17">
      <c r="A42" s="23" t="n"/>
      <c r="B42" s="93" t="n"/>
      <c r="C42" s="43" t="inlineStr">
        <is>
          <t>D</t>
        </is>
      </c>
      <c r="D42" s="136" t="n">
        <v>0</v>
      </c>
      <c r="E42" s="137" t="n">
        <v>0</v>
      </c>
      <c r="F42" s="138" t="n">
        <v>7901.82</v>
      </c>
    </row>
    <row r="43" ht="15" customFormat="1" customHeight="1" s="17">
      <c r="A43" s="23" t="n"/>
      <c r="B43" s="93" t="n"/>
      <c r="C43" s="43" t="inlineStr">
        <is>
          <t>D</t>
        </is>
      </c>
      <c r="D43" s="136" t="n">
        <v>0</v>
      </c>
      <c r="E43" s="137" t="n">
        <v>0</v>
      </c>
      <c r="F43" s="138">
        <f>D43*E43</f>
        <v/>
      </c>
    </row>
    <row r="44" ht="15" customFormat="1" customHeight="1" s="17">
      <c r="A44" s="23" t="n"/>
      <c r="B44" s="93" t="n"/>
      <c r="C44" s="43" t="n"/>
      <c r="D44" s="136" t="n">
        <v>0</v>
      </c>
      <c r="E44" s="137" t="n">
        <v>0</v>
      </c>
      <c r="F44" s="138">
        <f>D44*E44</f>
        <v/>
      </c>
    </row>
    <row r="45" ht="15" customHeight="1">
      <c r="A45" s="23" t="n"/>
      <c r="B45" s="38" t="inlineStr">
        <is>
          <t>4.INFRA ESTRUTURA</t>
        </is>
      </c>
      <c r="C45" s="39" t="n"/>
      <c r="D45" s="39" t="n"/>
      <c r="E45" s="39" t="n"/>
      <c r="F45" s="135" t="n">
        <v>0</v>
      </c>
    </row>
    <row r="46" ht="15" customHeight="1">
      <c r="A46" s="23" t="n"/>
      <c r="B46" s="93" t="n"/>
      <c r="C46" s="48" t="inlineStr">
        <is>
          <t>uni.</t>
        </is>
      </c>
      <c r="D46" s="136" t="n">
        <v>0</v>
      </c>
      <c r="E46" s="137" t="n">
        <v>0</v>
      </c>
      <c r="F46" s="138" t="n">
        <v>0</v>
      </c>
    </row>
    <row r="47" ht="15" customHeight="1">
      <c r="A47" s="23" t="n"/>
      <c r="B47" s="93" t="n"/>
      <c r="C47" s="48" t="inlineStr">
        <is>
          <t>uni.</t>
        </is>
      </c>
      <c r="D47" s="136" t="n">
        <v>0</v>
      </c>
      <c r="E47" s="137" t="n">
        <v>0</v>
      </c>
      <c r="F47" s="138">
        <f>D47*E47</f>
        <v/>
      </c>
    </row>
    <row r="48" ht="15.75" customHeight="1">
      <c r="A48" s="23" t="n"/>
      <c r="B48" s="38" t="inlineStr">
        <is>
          <t>5.PROJETOS</t>
        </is>
      </c>
      <c r="C48" s="39" t="n"/>
      <c r="D48" s="39" t="n"/>
      <c r="E48" s="39" t="n"/>
      <c r="F48" s="135">
        <f>SUM(F49:F49)</f>
        <v/>
      </c>
    </row>
    <row r="49" ht="15.75" customHeight="1">
      <c r="A49" s="23" t="n"/>
      <c r="B49" s="93" t="n"/>
      <c r="C49" s="43" t="inlineStr">
        <is>
          <t>uni.</t>
        </is>
      </c>
      <c r="D49" s="136" t="n">
        <v>0</v>
      </c>
      <c r="E49" s="137" t="n">
        <v>0</v>
      </c>
      <c r="F49" s="138">
        <f>D49*E49</f>
        <v/>
      </c>
    </row>
    <row r="50" ht="14.4" customHeight="1">
      <c r="A50" s="23" t="n"/>
      <c r="B50" s="93" t="n"/>
      <c r="C50" s="43" t="inlineStr">
        <is>
          <t>uni.</t>
        </is>
      </c>
      <c r="D50" s="136" t="n">
        <v>0</v>
      </c>
      <c r="E50" s="137" t="n">
        <v>0</v>
      </c>
      <c r="F50" s="138">
        <f>D50*E50</f>
        <v/>
      </c>
    </row>
    <row r="51" ht="14.4" customHeight="1">
      <c r="A51" s="23" t="n"/>
      <c r="B51" s="38" t="inlineStr">
        <is>
          <t>1. LICENÇA ANATEL</t>
        </is>
      </c>
      <c r="C51" s="39" t="n"/>
      <c r="D51" s="39" t="n"/>
      <c r="E51" s="134" t="n"/>
      <c r="F51" s="135">
        <f>SUM(F31:F32)</f>
        <v/>
      </c>
    </row>
    <row r="52" ht="14.4" customHeight="1">
      <c r="A52" s="23" t="n"/>
      <c r="B52" s="93" t="n"/>
      <c r="C52" s="43" t="inlineStr">
        <is>
          <t>uni.</t>
        </is>
      </c>
      <c r="D52" s="136" t="n">
        <v>0</v>
      </c>
      <c r="E52" s="137" t="n">
        <v>0</v>
      </c>
      <c r="F52" s="138">
        <f>D52*E52</f>
        <v/>
      </c>
    </row>
    <row r="53" ht="15" customHeight="1" thickBot="1">
      <c r="A53" s="23" t="n"/>
      <c r="B53" s="141" t="n"/>
      <c r="C53" s="43" t="inlineStr">
        <is>
          <t>uni.</t>
        </is>
      </c>
      <c r="D53" s="136" t="n">
        <v>0</v>
      </c>
      <c r="E53" s="137" t="n">
        <v>0</v>
      </c>
      <c r="F53" s="138">
        <f>D32*E32</f>
        <v/>
      </c>
    </row>
    <row r="54" ht="21.75" customHeight="1" thickBot="1">
      <c r="A54" s="23" t="n"/>
      <c r="B54" s="142" t="n"/>
      <c r="C54" s="143" t="n"/>
      <c r="D54" s="143" t="n"/>
      <c r="E54" s="144" t="n"/>
      <c r="F54" s="145">
        <f>SUM(F51,F45,F48,F32,F27,F9)</f>
        <v/>
      </c>
    </row>
  </sheetData>
  <mergeCells count="5">
    <mergeCell ref="B52:B53"/>
    <mergeCell ref="D5:E5"/>
    <mergeCell ref="B54:E54"/>
    <mergeCell ref="B3:F3"/>
    <mergeCell ref="B1:F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phoenix</dc:creator>
  <dcterms:created xsi:type="dcterms:W3CDTF">2013-12-03T20:00:19Z</dcterms:created>
  <dcterms:modified xsi:type="dcterms:W3CDTF">2026-09-02T15:20:26Z</dcterms:modified>
  <cp:lastModifiedBy>João Victor Azeredo Machado</cp:lastModifiedBy>
</cp:coreProperties>
</file>